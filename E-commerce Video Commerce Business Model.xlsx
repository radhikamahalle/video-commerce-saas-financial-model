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dhi\Downloads\"/>
    </mc:Choice>
  </mc:AlternateContent>
  <xr:revisionPtr revIDLastSave="0" documentId="8_{C53B2EA2-CBF0-4033-8C1D-3D5CB678429A}" xr6:coauthVersionLast="47" xr6:coauthVersionMax="47" xr10:uidLastSave="{00000000-0000-0000-0000-000000000000}"/>
  <bookViews>
    <workbookView xWindow="-108" yWindow="-108" windowWidth="23256" windowHeight="12456" xr2:uid="{9CD08F49-112A-C545-AF14-6B45C166BBDC}"/>
  </bookViews>
  <sheets>
    <sheet name="Assumptions" sheetId="1" r:id="rId1"/>
    <sheet name="Revenue Buildup" sheetId="3" r:id="rId2"/>
    <sheet name="Cost Buildup" sheetId="4" r:id="rId3"/>
    <sheet name="FAS" sheetId="5" state="hidden" r:id="rId4"/>
    <sheet name="IS" sheetId="6" r:id="rId5"/>
    <sheet name="BS" sheetId="7" r:id="rId6"/>
    <sheet name="CFS" sheetId="8" r:id="rId7"/>
    <sheet name="Valuation" sheetId="9" r:id="rId8"/>
    <sheet name="Sheet10" sheetId="10" state="hidden" r:id="rId9"/>
    <sheet name="Sheet1" sheetId="11" state="hidden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30" i="1" l="1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BT19" i="6"/>
  <c r="BR41" i="4"/>
  <c r="H31" i="1"/>
  <c r="H32" i="1"/>
  <c r="BR29" i="1"/>
  <c r="BS29" i="1" s="1"/>
  <c r="BT29" i="1" s="1"/>
  <c r="BO29" i="1"/>
  <c r="BP29" i="1" s="1"/>
  <c r="BQ29" i="1" s="1"/>
  <c r="BL29" i="1"/>
  <c r="BJ29" i="1"/>
  <c r="BI29" i="1"/>
  <c r="BK29" i="1"/>
  <c r="AX30" i="1"/>
  <c r="AY30" i="1" s="1"/>
  <c r="AZ30" i="1" s="1"/>
  <c r="AW29" i="1"/>
  <c r="D24" i="9"/>
  <c r="H25" i="4"/>
  <c r="G25" i="4"/>
  <c r="M23" i="4"/>
  <c r="M27" i="4" s="1"/>
  <c r="M24" i="3" s="1"/>
  <c r="A23" i="4"/>
  <c r="A25" i="4"/>
  <c r="M39" i="1"/>
  <c r="M41" i="3"/>
  <c r="X49" i="3"/>
  <c r="W49" i="3"/>
  <c r="V49" i="3"/>
  <c r="U49" i="3"/>
  <c r="T49" i="3"/>
  <c r="S49" i="3"/>
  <c r="R49" i="3"/>
  <c r="Q49" i="3"/>
  <c r="P49" i="3"/>
  <c r="O49" i="3"/>
  <c r="N49" i="3"/>
  <c r="M49" i="3"/>
  <c r="H6" i="1"/>
  <c r="G8" i="1"/>
  <c r="M8" i="1" s="1"/>
  <c r="M32" i="1"/>
  <c r="M25" i="4" s="1"/>
  <c r="X33" i="3"/>
  <c r="W33" i="3"/>
  <c r="V33" i="3"/>
  <c r="U33" i="3"/>
  <c r="T33" i="3"/>
  <c r="S33" i="3"/>
  <c r="R33" i="3"/>
  <c r="Q33" i="3"/>
  <c r="P33" i="3"/>
  <c r="O33" i="3"/>
  <c r="N33" i="3"/>
  <c r="M33" i="3"/>
  <c r="BV25" i="3"/>
  <c r="G19" i="1"/>
  <c r="H19" i="1" s="1"/>
  <c r="H18" i="1"/>
  <c r="H17" i="1"/>
  <c r="AK80" i="4"/>
  <c r="AK79" i="4" s="1"/>
  <c r="Y80" i="4"/>
  <c r="Y79" i="4" s="1"/>
  <c r="S80" i="4"/>
  <c r="S79" i="4" s="1"/>
  <c r="M80" i="4"/>
  <c r="M79" i="4" s="1"/>
  <c r="A80" i="4"/>
  <c r="AK78" i="4"/>
  <c r="Y78" i="4"/>
  <c r="AK77" i="4"/>
  <c r="Y77" i="4"/>
  <c r="Y76" i="4"/>
  <c r="M78" i="4"/>
  <c r="M77" i="4"/>
  <c r="M76" i="4"/>
  <c r="A78" i="4"/>
  <c r="A77" i="4"/>
  <c r="A76" i="4"/>
  <c r="AK74" i="4"/>
  <c r="AE74" i="4"/>
  <c r="AK73" i="4"/>
  <c r="AE73" i="4"/>
  <c r="AK72" i="4"/>
  <c r="Y72" i="4"/>
  <c r="AK71" i="4"/>
  <c r="AE71" i="4"/>
  <c r="M74" i="4"/>
  <c r="M73" i="4"/>
  <c r="M72" i="4"/>
  <c r="M71" i="4"/>
  <c r="A74" i="4"/>
  <c r="A73" i="4"/>
  <c r="A72" i="4"/>
  <c r="A71" i="4"/>
  <c r="A69" i="4"/>
  <c r="A68" i="4"/>
  <c r="G7" i="1"/>
  <c r="H7" i="1" s="1"/>
  <c r="K19" i="9"/>
  <c r="K18" i="9"/>
  <c r="K17" i="9"/>
  <c r="I21" i="9"/>
  <c r="K21" i="9" s="1"/>
  <c r="I20" i="9"/>
  <c r="K20" i="9" s="1"/>
  <c r="G14" i="4"/>
  <c r="E30" i="9"/>
  <c r="BV42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BT8" i="8"/>
  <c r="BS8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BP18" i="7"/>
  <c r="BM18" i="7"/>
  <c r="BH18" i="7"/>
  <c r="BE18" i="7"/>
  <c r="AZ18" i="7"/>
  <c r="AW18" i="7"/>
  <c r="AR18" i="7"/>
  <c r="AO18" i="7"/>
  <c r="AJ18" i="7"/>
  <c r="AG18" i="7"/>
  <c r="AB18" i="7"/>
  <c r="Y18" i="7"/>
  <c r="T18" i="7"/>
  <c r="Q18" i="7"/>
  <c r="BT18" i="7"/>
  <c r="BS18" i="7"/>
  <c r="BR18" i="7"/>
  <c r="BQ18" i="7"/>
  <c r="BO18" i="7"/>
  <c r="BN18" i="7"/>
  <c r="BL18" i="7"/>
  <c r="BK18" i="7"/>
  <c r="BJ18" i="7"/>
  <c r="BI18" i="7"/>
  <c r="BG18" i="7"/>
  <c r="BF18" i="7"/>
  <c r="BD18" i="7"/>
  <c r="BC18" i="7"/>
  <c r="BB18" i="7"/>
  <c r="BA18" i="7"/>
  <c r="AY18" i="7"/>
  <c r="AX18" i="7"/>
  <c r="AV18" i="7"/>
  <c r="AU18" i="7"/>
  <c r="AT18" i="7"/>
  <c r="AS18" i="7"/>
  <c r="AQ18" i="7"/>
  <c r="AP18" i="7"/>
  <c r="AN18" i="7"/>
  <c r="AM18" i="7"/>
  <c r="AL18" i="7"/>
  <c r="AK18" i="7"/>
  <c r="AI18" i="7"/>
  <c r="AH18" i="7"/>
  <c r="AF18" i="7"/>
  <c r="AE18" i="7"/>
  <c r="AD18" i="7"/>
  <c r="AC18" i="7"/>
  <c r="AA18" i="7"/>
  <c r="Z18" i="7"/>
  <c r="X18" i="7"/>
  <c r="W18" i="7"/>
  <c r="V18" i="7"/>
  <c r="U18" i="7"/>
  <c r="S18" i="7"/>
  <c r="R18" i="7"/>
  <c r="P18" i="7"/>
  <c r="O18" i="7"/>
  <c r="N18" i="7"/>
  <c r="M18" i="7"/>
  <c r="BA30" i="1" l="1"/>
  <c r="BB30" i="1" s="1"/>
  <c r="O23" i="4"/>
  <c r="N23" i="4"/>
  <c r="P23" i="4"/>
  <c r="Q23" i="4"/>
  <c r="H8" i="1"/>
  <c r="Y75" i="4"/>
  <c r="M70" i="4"/>
  <c r="M75" i="4"/>
  <c r="AK70" i="4"/>
  <c r="I63" i="4"/>
  <c r="H63" i="4"/>
  <c r="G63" i="4"/>
  <c r="F63" i="4"/>
  <c r="A63" i="4"/>
  <c r="A62" i="4"/>
  <c r="A61" i="4"/>
  <c r="A60" i="4"/>
  <c r="M57" i="1"/>
  <c r="M61" i="4" s="1"/>
  <c r="M18" i="6" s="1"/>
  <c r="H57" i="1"/>
  <c r="Z59" i="1"/>
  <c r="T59" i="1"/>
  <c r="T80" i="4" s="1"/>
  <c r="T79" i="4" s="1"/>
  <c r="N59" i="1"/>
  <c r="N80" i="4" s="1"/>
  <c r="N79" i="4" s="1"/>
  <c r="M51" i="1"/>
  <c r="M50" i="1"/>
  <c r="I57" i="4"/>
  <c r="I56" i="4"/>
  <c r="I55" i="4"/>
  <c r="H57" i="4"/>
  <c r="H56" i="4"/>
  <c r="H55" i="4"/>
  <c r="G57" i="4"/>
  <c r="G56" i="4"/>
  <c r="G55" i="4"/>
  <c r="F57" i="4"/>
  <c r="F56" i="4"/>
  <c r="F55" i="4"/>
  <c r="A57" i="4"/>
  <c r="A56" i="4"/>
  <c r="A55" i="4"/>
  <c r="A54" i="4"/>
  <c r="G53" i="4"/>
  <c r="G52" i="4"/>
  <c r="F53" i="4"/>
  <c r="F52" i="4"/>
  <c r="A53" i="4"/>
  <c r="A52" i="4"/>
  <c r="A51" i="4"/>
  <c r="AL55" i="1"/>
  <c r="N55" i="1"/>
  <c r="N78" i="4" s="1"/>
  <c r="AL54" i="1"/>
  <c r="Z54" i="1"/>
  <c r="N54" i="1"/>
  <c r="N53" i="1"/>
  <c r="H51" i="1"/>
  <c r="H53" i="4" s="1"/>
  <c r="H50" i="1"/>
  <c r="H52" i="4" s="1"/>
  <c r="BC30" i="1" l="1"/>
  <c r="BD30" i="1" s="1"/>
  <c r="BE30" i="1" s="1"/>
  <c r="R23" i="4"/>
  <c r="U59" i="1"/>
  <c r="V59" i="1" s="1"/>
  <c r="V63" i="4" s="1"/>
  <c r="U80" i="4"/>
  <c r="U79" i="4" s="1"/>
  <c r="AA59" i="1"/>
  <c r="Z80" i="4"/>
  <c r="Z79" i="4" s="1"/>
  <c r="O53" i="1"/>
  <c r="O55" i="4" s="1"/>
  <c r="N76" i="4"/>
  <c r="O59" i="1"/>
  <c r="O63" i="4" s="1"/>
  <c r="AA54" i="1"/>
  <c r="Z77" i="4"/>
  <c r="AM54" i="1"/>
  <c r="AL77" i="4"/>
  <c r="O55" i="1"/>
  <c r="O57" i="4" s="1"/>
  <c r="AM55" i="1"/>
  <c r="AL78" i="4"/>
  <c r="O54" i="1"/>
  <c r="O56" i="4" s="1"/>
  <c r="N77" i="4"/>
  <c r="S63" i="4"/>
  <c r="AL56" i="4"/>
  <c r="T63" i="4"/>
  <c r="N56" i="4"/>
  <c r="M63" i="4"/>
  <c r="M55" i="4"/>
  <c r="M57" i="4"/>
  <c r="AK57" i="4"/>
  <c r="N63" i="4"/>
  <c r="AK63" i="4"/>
  <c r="U63" i="4"/>
  <c r="AL57" i="4"/>
  <c r="N55" i="4"/>
  <c r="M56" i="4"/>
  <c r="AK56" i="4"/>
  <c r="N57" i="4"/>
  <c r="BF30" i="1" l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S23" i="4"/>
  <c r="N75" i="4"/>
  <c r="AN54" i="1"/>
  <c r="AM77" i="4"/>
  <c r="P54" i="1"/>
  <c r="O77" i="4"/>
  <c r="P55" i="1"/>
  <c r="O78" i="4"/>
  <c r="AM56" i="4"/>
  <c r="M64" i="4"/>
  <c r="M23" i="6"/>
  <c r="T23" i="6"/>
  <c r="AB54" i="1"/>
  <c r="AA77" i="4"/>
  <c r="AB59" i="1"/>
  <c r="AA80" i="4"/>
  <c r="AA79" i="4" s="1"/>
  <c r="P59" i="1"/>
  <c r="O80" i="4"/>
  <c r="O79" i="4" s="1"/>
  <c r="AK23" i="6"/>
  <c r="N23" i="6"/>
  <c r="U23" i="6"/>
  <c r="W59" i="1"/>
  <c r="V80" i="4"/>
  <c r="V79" i="4" s="1"/>
  <c r="AN55" i="1"/>
  <c r="AM78" i="4"/>
  <c r="O23" i="6"/>
  <c r="V23" i="6"/>
  <c r="AM57" i="4"/>
  <c r="S23" i="6"/>
  <c r="P53" i="1"/>
  <c r="O76" i="4"/>
  <c r="M58" i="4"/>
  <c r="M22" i="6" s="1"/>
  <c r="O58" i="4"/>
  <c r="O22" i="6" s="1"/>
  <c r="N58" i="4"/>
  <c r="N22" i="6" s="1"/>
  <c r="I48" i="4"/>
  <c r="I47" i="4"/>
  <c r="I46" i="4"/>
  <c r="I45" i="4"/>
  <c r="F48" i="4"/>
  <c r="F47" i="4"/>
  <c r="F46" i="4"/>
  <c r="F45" i="4"/>
  <c r="H48" i="4"/>
  <c r="H47" i="4"/>
  <c r="H46" i="4"/>
  <c r="H45" i="4"/>
  <c r="G48" i="4"/>
  <c r="G47" i="4"/>
  <c r="G46" i="4"/>
  <c r="G45" i="4"/>
  <c r="A48" i="4"/>
  <c r="A47" i="4"/>
  <c r="A46" i="4"/>
  <c r="N48" i="1"/>
  <c r="N74" i="4" s="1"/>
  <c r="N47" i="1"/>
  <c r="N73" i="4" s="1"/>
  <c r="Z46" i="1"/>
  <c r="N46" i="1"/>
  <c r="N45" i="1"/>
  <c r="A45" i="4"/>
  <c r="A44" i="4"/>
  <c r="J10" i="9"/>
  <c r="J9" i="9"/>
  <c r="K9" i="9" s="1"/>
  <c r="J8" i="9"/>
  <c r="J7" i="9"/>
  <c r="K7" i="9" s="1"/>
  <c r="I10" i="9"/>
  <c r="T23" i="4" l="1"/>
  <c r="O75" i="4"/>
  <c r="AA46" i="1"/>
  <c r="Z72" i="4"/>
  <c r="X59" i="1"/>
  <c r="W80" i="4"/>
  <c r="W79" i="4" s="1"/>
  <c r="W63" i="4"/>
  <c r="Q59" i="1"/>
  <c r="P80" i="4"/>
  <c r="P79" i="4" s="1"/>
  <c r="P63" i="4"/>
  <c r="AC59" i="1"/>
  <c r="AB80" i="4"/>
  <c r="AB79" i="4" s="1"/>
  <c r="Q55" i="1"/>
  <c r="P78" i="4"/>
  <c r="P57" i="4"/>
  <c r="O47" i="1"/>
  <c r="K10" i="9"/>
  <c r="O48" i="1"/>
  <c r="O48" i="4" s="1"/>
  <c r="AC54" i="1"/>
  <c r="AB77" i="4"/>
  <c r="Q53" i="1"/>
  <c r="P76" i="4"/>
  <c r="P55" i="4"/>
  <c r="Q54" i="1"/>
  <c r="P77" i="4"/>
  <c r="P56" i="4"/>
  <c r="O45" i="1"/>
  <c r="O45" i="4" s="1"/>
  <c r="N71" i="4"/>
  <c r="O46" i="1"/>
  <c r="N72" i="4"/>
  <c r="AN78" i="4"/>
  <c r="AO55" i="1"/>
  <c r="AN57" i="4"/>
  <c r="AO54" i="1"/>
  <c r="AN77" i="4"/>
  <c r="AN56" i="4"/>
  <c r="N45" i="4"/>
  <c r="M47" i="4"/>
  <c r="AK47" i="4"/>
  <c r="N47" i="4"/>
  <c r="M45" i="4"/>
  <c r="M46" i="4"/>
  <c r="AK46" i="4"/>
  <c r="N46" i="4"/>
  <c r="AK45" i="4"/>
  <c r="AK48" i="4"/>
  <c r="N48" i="4"/>
  <c r="M48" i="4"/>
  <c r="BV8" i="3"/>
  <c r="H13" i="1"/>
  <c r="G12" i="1"/>
  <c r="M12" i="1" s="1"/>
  <c r="M13" i="1"/>
  <c r="M11" i="1"/>
  <c r="M6" i="1"/>
  <c r="M34" i="1"/>
  <c r="A31" i="4"/>
  <c r="A30" i="4"/>
  <c r="A29" i="4"/>
  <c r="A28" i="4"/>
  <c r="M36" i="1"/>
  <c r="M31" i="4" s="1"/>
  <c r="M35" i="1"/>
  <c r="M30" i="4" s="1"/>
  <c r="H36" i="1"/>
  <c r="H35" i="1"/>
  <c r="H34" i="1"/>
  <c r="H24" i="4"/>
  <c r="F14" i="4"/>
  <c r="A14" i="4"/>
  <c r="I40" i="4"/>
  <c r="I39" i="4"/>
  <c r="H40" i="4"/>
  <c r="H39" i="4"/>
  <c r="G39" i="4"/>
  <c r="F40" i="4"/>
  <c r="F39" i="4"/>
  <c r="A40" i="4"/>
  <c r="A39" i="4"/>
  <c r="A38" i="4"/>
  <c r="N29" i="1"/>
  <c r="G35" i="4"/>
  <c r="F35" i="4"/>
  <c r="A35" i="4"/>
  <c r="H39" i="1"/>
  <c r="H35" i="4" s="1"/>
  <c r="F34" i="4"/>
  <c r="G34" i="4"/>
  <c r="A34" i="4"/>
  <c r="A21" i="4"/>
  <c r="A33" i="4"/>
  <c r="M38" i="1"/>
  <c r="G24" i="4"/>
  <c r="M31" i="1"/>
  <c r="M24" i="4" s="1"/>
  <c r="A24" i="4"/>
  <c r="H38" i="1"/>
  <c r="H34" i="4" s="1"/>
  <c r="M22" i="4"/>
  <c r="M26" i="4" s="1"/>
  <c r="A22" i="4"/>
  <c r="A20" i="4"/>
  <c r="A19" i="4"/>
  <c r="I17" i="4"/>
  <c r="G17" i="4"/>
  <c r="F17" i="4"/>
  <c r="A17" i="4"/>
  <c r="B11" i="6" s="1"/>
  <c r="F11" i="4"/>
  <c r="A13" i="4"/>
  <c r="A12" i="4"/>
  <c r="A11" i="4"/>
  <c r="A10" i="4"/>
  <c r="B10" i="6" s="1"/>
  <c r="A9" i="4"/>
  <c r="A8" i="4"/>
  <c r="A7" i="4"/>
  <c r="A6" i="4"/>
  <c r="B9" i="6" s="1"/>
  <c r="A5" i="4"/>
  <c r="M24" i="1"/>
  <c r="M14" i="4" s="1"/>
  <c r="H14" i="4"/>
  <c r="M21" i="1"/>
  <c r="M22" i="1"/>
  <c r="H22" i="1"/>
  <c r="M19" i="1"/>
  <c r="M18" i="1"/>
  <c r="M17" i="1"/>
  <c r="H21" i="1"/>
  <c r="N4" i="5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BE4" i="5" s="1"/>
  <c r="BF4" i="5" s="1"/>
  <c r="BG4" i="5" s="1"/>
  <c r="BH4" i="5" s="1"/>
  <c r="BI4" i="5" s="1"/>
  <c r="BJ4" i="5" s="1"/>
  <c r="BK4" i="5" s="1"/>
  <c r="BL4" i="5" s="1"/>
  <c r="BM4" i="5" s="1"/>
  <c r="BN4" i="5" s="1"/>
  <c r="BO4" i="5" s="1"/>
  <c r="BP4" i="5" s="1"/>
  <c r="BQ4" i="5" s="1"/>
  <c r="BR4" i="5" s="1"/>
  <c r="BS4" i="5" s="1"/>
  <c r="BT4" i="5" s="1"/>
  <c r="Y3" i="5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N4" i="6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Y3" i="6"/>
  <c r="N4" i="7"/>
  <c r="Y3" i="7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O4" i="8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AK4" i="8" s="1"/>
  <c r="AL4" i="8" s="1"/>
  <c r="AM4" i="8" s="1"/>
  <c r="AN4" i="8" s="1"/>
  <c r="AO4" i="8" s="1"/>
  <c r="AP4" i="8" s="1"/>
  <c r="AQ4" i="8" s="1"/>
  <c r="AR4" i="8" s="1"/>
  <c r="AS4" i="8" s="1"/>
  <c r="AT4" i="8" s="1"/>
  <c r="AU4" i="8" s="1"/>
  <c r="AV4" i="8" s="1"/>
  <c r="AW4" i="8" s="1"/>
  <c r="AX4" i="8" s="1"/>
  <c r="AY4" i="8" s="1"/>
  <c r="AZ4" i="8" s="1"/>
  <c r="BA4" i="8" s="1"/>
  <c r="BB4" i="8" s="1"/>
  <c r="BC4" i="8" s="1"/>
  <c r="BD4" i="8" s="1"/>
  <c r="BE4" i="8" s="1"/>
  <c r="BF4" i="8" s="1"/>
  <c r="BG4" i="8" s="1"/>
  <c r="BH4" i="8" s="1"/>
  <c r="BI4" i="8" s="1"/>
  <c r="BJ4" i="8" s="1"/>
  <c r="BK4" i="8" s="1"/>
  <c r="BL4" i="8" s="1"/>
  <c r="BM4" i="8" s="1"/>
  <c r="BN4" i="8" s="1"/>
  <c r="BO4" i="8" s="1"/>
  <c r="BP4" i="8" s="1"/>
  <c r="BQ4" i="8" s="1"/>
  <c r="BR4" i="8" s="1"/>
  <c r="BS4" i="8" s="1"/>
  <c r="BT4" i="8" s="1"/>
  <c r="N4" i="8"/>
  <c r="Y3" i="8"/>
  <c r="N4" i="4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Y3" i="4"/>
  <c r="N4" i="3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Y3" i="3"/>
  <c r="H11" i="1"/>
  <c r="H12" i="1" s="1"/>
  <c r="M9" i="1"/>
  <c r="H9" i="1"/>
  <c r="U23" i="4" l="1"/>
  <c r="Z3" i="3"/>
  <c r="P75" i="4"/>
  <c r="P58" i="4"/>
  <c r="P22" i="6" s="1"/>
  <c r="P23" i="6"/>
  <c r="Z3" i="8"/>
  <c r="AA3" i="8" s="1"/>
  <c r="AB3" i="8" s="1"/>
  <c r="AC3" i="8" s="1"/>
  <c r="AD3" i="8" s="1"/>
  <c r="AE3" i="8" s="1"/>
  <c r="AF3" i="8" s="1"/>
  <c r="AG3" i="8" s="1"/>
  <c r="AH3" i="8" s="1"/>
  <c r="AI3" i="8" s="1"/>
  <c r="AJ3" i="8" s="1"/>
  <c r="BX17" i="8"/>
  <c r="BZ18" i="8"/>
  <c r="BW17" i="8"/>
  <c r="BW22" i="8"/>
  <c r="BY18" i="8"/>
  <c r="BV22" i="8"/>
  <c r="BX18" i="8"/>
  <c r="BX19" i="8"/>
  <c r="BZ17" i="8"/>
  <c r="BW8" i="8"/>
  <c r="BW19" i="8"/>
  <c r="BY17" i="8"/>
  <c r="BY36" i="8"/>
  <c r="BV18" i="8"/>
  <c r="BV35" i="8"/>
  <c r="BW38" i="8"/>
  <c r="BV29" i="8"/>
  <c r="BY16" i="8"/>
  <c r="BX8" i="8"/>
  <c r="BV8" i="8"/>
  <c r="AP55" i="1"/>
  <c r="AO78" i="4"/>
  <c r="AO57" i="4"/>
  <c r="R54" i="1"/>
  <c r="Q77" i="4"/>
  <c r="Q56" i="4"/>
  <c r="P47" i="1"/>
  <c r="O73" i="4"/>
  <c r="R59" i="1"/>
  <c r="Q80" i="4"/>
  <c r="Q79" i="4" s="1"/>
  <c r="Q63" i="4"/>
  <c r="O47" i="4"/>
  <c r="W23" i="6"/>
  <c r="P46" i="1"/>
  <c r="O72" i="4"/>
  <c r="R53" i="1"/>
  <c r="Q76" i="4"/>
  <c r="Q55" i="4"/>
  <c r="R55" i="1"/>
  <c r="Q78" i="4"/>
  <c r="Q57" i="4"/>
  <c r="N70" i="4"/>
  <c r="X80" i="4"/>
  <c r="X79" i="4" s="1"/>
  <c r="X63" i="4"/>
  <c r="O46" i="4"/>
  <c r="AP54" i="1"/>
  <c r="AO77" i="4"/>
  <c r="AO56" i="4"/>
  <c r="P45" i="1"/>
  <c r="O71" i="4"/>
  <c r="AD54" i="1"/>
  <c r="AC77" i="4"/>
  <c r="AD59" i="1"/>
  <c r="AC80" i="4"/>
  <c r="AC79" i="4" s="1"/>
  <c r="Z3" i="6"/>
  <c r="AA3" i="6" s="1"/>
  <c r="AB3" i="6" s="1"/>
  <c r="AC3" i="6" s="1"/>
  <c r="AD3" i="6" s="1"/>
  <c r="AE3" i="6" s="1"/>
  <c r="AF3" i="6" s="1"/>
  <c r="AG3" i="6" s="1"/>
  <c r="AH3" i="6" s="1"/>
  <c r="AI3" i="6" s="1"/>
  <c r="AJ3" i="6" s="1"/>
  <c r="BW30" i="6" s="1"/>
  <c r="BY30" i="6"/>
  <c r="BX30" i="6"/>
  <c r="BZ29" i="6"/>
  <c r="BY29" i="6"/>
  <c r="BW29" i="6"/>
  <c r="P48" i="1"/>
  <c r="O74" i="4"/>
  <c r="AB46" i="1"/>
  <c r="AA72" i="4"/>
  <c r="M12" i="4"/>
  <c r="O29" i="1"/>
  <c r="P29" i="1" s="1"/>
  <c r="Q29" i="1" s="1"/>
  <c r="M7" i="4"/>
  <c r="BX34" i="7"/>
  <c r="BX27" i="7"/>
  <c r="BV13" i="7"/>
  <c r="BZ34" i="7"/>
  <c r="BZ27" i="7"/>
  <c r="BW25" i="7"/>
  <c r="BV25" i="7"/>
  <c r="BZ25" i="7"/>
  <c r="BW34" i="7"/>
  <c r="BV27" i="7"/>
  <c r="BV34" i="7"/>
  <c r="BZ31" i="7"/>
  <c r="BX18" i="7"/>
  <c r="BV31" i="7"/>
  <c r="BY31" i="7"/>
  <c r="BW18" i="7"/>
  <c r="BW32" i="7"/>
  <c r="O4" i="7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BC4" i="7" s="1"/>
  <c r="BD4" i="7" s="1"/>
  <c r="BE4" i="7" s="1"/>
  <c r="BF4" i="7" s="1"/>
  <c r="BG4" i="7" s="1"/>
  <c r="BH4" i="7" s="1"/>
  <c r="BI4" i="7" s="1"/>
  <c r="BJ4" i="7" s="1"/>
  <c r="BK4" i="7" s="1"/>
  <c r="BL4" i="7" s="1"/>
  <c r="BM4" i="7" s="1"/>
  <c r="BN4" i="7" s="1"/>
  <c r="BO4" i="7" s="1"/>
  <c r="BP4" i="7" s="1"/>
  <c r="BQ4" i="7" s="1"/>
  <c r="BR4" i="7" s="1"/>
  <c r="BS4" i="7" s="1"/>
  <c r="BT4" i="7" s="1"/>
  <c r="Y56" i="4"/>
  <c r="Y63" i="4"/>
  <c r="Y55" i="4"/>
  <c r="Y57" i="4"/>
  <c r="Z3" i="4"/>
  <c r="AK49" i="4"/>
  <c r="AK21" i="6" s="1"/>
  <c r="Y46" i="4"/>
  <c r="N49" i="4"/>
  <c r="N21" i="6" s="1"/>
  <c r="M49" i="4"/>
  <c r="M21" i="6" s="1"/>
  <c r="N22" i="4"/>
  <c r="M35" i="4"/>
  <c r="M34" i="4"/>
  <c r="M9" i="4"/>
  <c r="M8" i="4"/>
  <c r="M7" i="1"/>
  <c r="BZ30" i="6" l="1"/>
  <c r="BZ34" i="6"/>
  <c r="BX29" i="6"/>
  <c r="BX34" i="6"/>
  <c r="BV34" i="6"/>
  <c r="BV30" i="6"/>
  <c r="BW34" i="6"/>
  <c r="BY34" i="6"/>
  <c r="V23" i="4"/>
  <c r="P22" i="4"/>
  <c r="M27" i="3"/>
  <c r="N25" i="3" s="1"/>
  <c r="M7" i="3"/>
  <c r="M40" i="3" s="1"/>
  <c r="M43" i="3" s="1"/>
  <c r="N41" i="3" s="1"/>
  <c r="AA3" i="3"/>
  <c r="O49" i="4"/>
  <c r="O21" i="6" s="1"/>
  <c r="O22" i="4"/>
  <c r="Q58" i="4"/>
  <c r="Q22" i="6" s="1"/>
  <c r="Q75" i="4"/>
  <c r="BY8" i="8"/>
  <c r="BX38" i="8"/>
  <c r="BW35" i="8"/>
  <c r="BY34" i="8"/>
  <c r="BZ34" i="8"/>
  <c r="BX35" i="8"/>
  <c r="BV34" i="8"/>
  <c r="BY29" i="8"/>
  <c r="BZ29" i="8"/>
  <c r="Y23" i="6"/>
  <c r="BV18" i="7"/>
  <c r="BY13" i="7"/>
  <c r="Q48" i="1"/>
  <c r="P74" i="4"/>
  <c r="P48" i="4"/>
  <c r="BV16" i="8"/>
  <c r="BY19" i="8"/>
  <c r="BW16" i="8"/>
  <c r="BW36" i="8"/>
  <c r="BX36" i="8"/>
  <c r="BV37" i="8"/>
  <c r="BY35" i="8"/>
  <c r="BW34" i="8"/>
  <c r="BX34" i="8"/>
  <c r="AQ54" i="1"/>
  <c r="AP77" i="4"/>
  <c r="AP56" i="4"/>
  <c r="S55" i="1"/>
  <c r="R78" i="4"/>
  <c r="R57" i="4"/>
  <c r="S54" i="1"/>
  <c r="R77" i="4"/>
  <c r="R56" i="4"/>
  <c r="BZ19" i="8"/>
  <c r="BZ28" i="8"/>
  <c r="BZ31" i="8" s="1"/>
  <c r="BZ37" i="8"/>
  <c r="BV38" i="8"/>
  <c r="BY38" i="8"/>
  <c r="BW37" i="8"/>
  <c r="BZ35" i="8"/>
  <c r="BV36" i="8"/>
  <c r="AE59" i="1"/>
  <c r="AD80" i="4"/>
  <c r="AD79" i="4" s="1"/>
  <c r="Q23" i="6"/>
  <c r="BZ16" i="8"/>
  <c r="BV17" i="8"/>
  <c r="BZ38" i="8"/>
  <c r="BX37" i="8"/>
  <c r="BY37" i="8"/>
  <c r="AE54" i="1"/>
  <c r="AD77" i="4"/>
  <c r="BV19" i="8"/>
  <c r="X23" i="6"/>
  <c r="S53" i="1"/>
  <c r="R76" i="4"/>
  <c r="R55" i="4"/>
  <c r="R80" i="4"/>
  <c r="R79" i="4" s="1"/>
  <c r="R63" i="4"/>
  <c r="AQ55" i="1"/>
  <c r="AP78" i="4"/>
  <c r="AP57" i="4"/>
  <c r="BZ18" i="7"/>
  <c r="BV17" i="7"/>
  <c r="BV32" i="7"/>
  <c r="BV29" i="6"/>
  <c r="O70" i="4"/>
  <c r="BZ8" i="8"/>
  <c r="BZ36" i="8"/>
  <c r="BW23" i="8"/>
  <c r="BZ22" i="8"/>
  <c r="BV23" i="8"/>
  <c r="BY23" i="8"/>
  <c r="BZ23" i="8"/>
  <c r="BX22" i="8"/>
  <c r="BY22" i="8"/>
  <c r="AC46" i="1"/>
  <c r="AB72" i="4"/>
  <c r="Q45" i="1"/>
  <c r="P71" i="4"/>
  <c r="P45" i="4"/>
  <c r="Q46" i="1"/>
  <c r="P72" i="4"/>
  <c r="P46" i="4"/>
  <c r="Q47" i="1"/>
  <c r="P73" i="4"/>
  <c r="P47" i="4"/>
  <c r="BX16" i="8"/>
  <c r="BW18" i="8"/>
  <c r="BX23" i="8"/>
  <c r="BX28" i="8"/>
  <c r="BY28" i="8"/>
  <c r="BY31" i="8" s="1"/>
  <c r="BW29" i="8"/>
  <c r="BX29" i="8"/>
  <c r="BV28" i="8"/>
  <c r="BV31" i="8" s="1"/>
  <c r="BW28" i="8"/>
  <c r="BZ16" i="7"/>
  <c r="BY32" i="7"/>
  <c r="BY34" i="7"/>
  <c r="BW26" i="7"/>
  <c r="BW27" i="7"/>
  <c r="BX16" i="7"/>
  <c r="BV26" i="7"/>
  <c r="BV28" i="7" s="1"/>
  <c r="BZ17" i="7"/>
  <c r="BX26" i="7"/>
  <c r="BX31" i="7"/>
  <c r="BY16" i="7"/>
  <c r="BY27" i="7"/>
  <c r="BW16" i="7"/>
  <c r="BX13" i="7"/>
  <c r="BW31" i="7"/>
  <c r="BY26" i="7"/>
  <c r="BY25" i="7"/>
  <c r="BY17" i="7"/>
  <c r="BX17" i="7"/>
  <c r="BY18" i="7"/>
  <c r="BW13" i="7"/>
  <c r="BZ13" i="7"/>
  <c r="BX32" i="7"/>
  <c r="BV16" i="7"/>
  <c r="BZ26" i="7"/>
  <c r="BZ28" i="7" s="1"/>
  <c r="BZ32" i="7"/>
  <c r="BW17" i="7"/>
  <c r="BX25" i="7"/>
  <c r="BX28" i="7" s="1"/>
  <c r="M6" i="4"/>
  <c r="Y58" i="4"/>
  <c r="Y22" i="6" s="1"/>
  <c r="Z56" i="4"/>
  <c r="Z63" i="4"/>
  <c r="AA3" i="4"/>
  <c r="Z46" i="4"/>
  <c r="M16" i="3"/>
  <c r="R29" i="1"/>
  <c r="S29" i="1" s="1"/>
  <c r="Q22" i="4"/>
  <c r="M36" i="4"/>
  <c r="M68" i="4" s="1"/>
  <c r="W23" i="4" l="1"/>
  <c r="M12" i="3"/>
  <c r="M18" i="3" s="1"/>
  <c r="M20" i="3" s="1"/>
  <c r="AB3" i="3"/>
  <c r="M29" i="3"/>
  <c r="M35" i="3" s="1"/>
  <c r="M37" i="3" s="1"/>
  <c r="M38" i="3" s="1"/>
  <c r="Y26" i="3"/>
  <c r="M10" i="3"/>
  <c r="N8" i="3" s="1"/>
  <c r="R58" i="4"/>
  <c r="R22" i="6" s="1"/>
  <c r="P70" i="4"/>
  <c r="R75" i="4"/>
  <c r="P49" i="4"/>
  <c r="P21" i="6" s="1"/>
  <c r="T55" i="1"/>
  <c r="S78" i="4"/>
  <c r="S57" i="4"/>
  <c r="BX39" i="8"/>
  <c r="BW31" i="8"/>
  <c r="R47" i="1"/>
  <c r="Q73" i="4"/>
  <c r="Q47" i="4"/>
  <c r="AD46" i="1"/>
  <c r="AC72" i="4"/>
  <c r="AF54" i="1"/>
  <c r="AE77" i="4"/>
  <c r="Z23" i="6"/>
  <c r="T53" i="1"/>
  <c r="S76" i="4"/>
  <c r="S55" i="4"/>
  <c r="AF59" i="1"/>
  <c r="AE80" i="4"/>
  <c r="AE79" i="4" s="1"/>
  <c r="BX31" i="8"/>
  <c r="AR54" i="1"/>
  <c r="AQ77" i="4"/>
  <c r="AQ56" i="4"/>
  <c r="R46" i="1"/>
  <c r="Q72" i="4"/>
  <c r="Q46" i="4"/>
  <c r="BZ39" i="8"/>
  <c r="AR55" i="1"/>
  <c r="AQ78" i="4"/>
  <c r="AQ57" i="4"/>
  <c r="T54" i="1"/>
  <c r="S77" i="4"/>
  <c r="S56" i="4"/>
  <c r="BW39" i="8"/>
  <c r="R23" i="6"/>
  <c r="BV23" i="6" s="1"/>
  <c r="BY39" i="8"/>
  <c r="BW28" i="7"/>
  <c r="R45" i="1"/>
  <c r="Q71" i="4"/>
  <c r="Q45" i="4"/>
  <c r="R48" i="1"/>
  <c r="Q74" i="4"/>
  <c r="Q48" i="4"/>
  <c r="BV39" i="8"/>
  <c r="BY28" i="7"/>
  <c r="M9" i="6"/>
  <c r="AA63" i="4"/>
  <c r="AA56" i="4"/>
  <c r="AB3" i="4"/>
  <c r="AA46" i="4"/>
  <c r="M37" i="4"/>
  <c r="M39" i="4"/>
  <c r="R22" i="4"/>
  <c r="N4" i="1"/>
  <c r="Y3" i="1"/>
  <c r="X23" i="4" l="1"/>
  <c r="M52" i="3"/>
  <c r="M53" i="3" s="1"/>
  <c r="M45" i="3"/>
  <c r="M51" i="3" s="1"/>
  <c r="AC3" i="3"/>
  <c r="AS54" i="1"/>
  <c r="AR77" i="4"/>
  <c r="AR56" i="4"/>
  <c r="S47" i="1"/>
  <c r="R73" i="4"/>
  <c r="R47" i="4"/>
  <c r="S48" i="1"/>
  <c r="R74" i="4"/>
  <c r="R48" i="4"/>
  <c r="Q49" i="4"/>
  <c r="Q21" i="6" s="1"/>
  <c r="S46" i="1"/>
  <c r="R72" i="4"/>
  <c r="R46" i="4"/>
  <c r="AG59" i="1"/>
  <c r="AF80" i="4"/>
  <c r="AF79" i="4" s="1"/>
  <c r="AG54" i="1"/>
  <c r="AF77" i="4"/>
  <c r="S58" i="4"/>
  <c r="S22" i="6" s="1"/>
  <c r="AS55" i="1"/>
  <c r="AR78" i="4"/>
  <c r="AR57" i="4"/>
  <c r="Q70" i="4"/>
  <c r="S45" i="1"/>
  <c r="R71" i="4"/>
  <c r="R45" i="4"/>
  <c r="S75" i="4"/>
  <c r="AE46" i="1"/>
  <c r="AD72" i="4"/>
  <c r="U55" i="1"/>
  <c r="T78" i="4"/>
  <c r="T57" i="4"/>
  <c r="AA23" i="6"/>
  <c r="U54" i="1"/>
  <c r="T77" i="4"/>
  <c r="T56" i="4"/>
  <c r="U53" i="1"/>
  <c r="T76" i="4"/>
  <c r="T55" i="4"/>
  <c r="AF45" i="1"/>
  <c r="M40" i="4"/>
  <c r="M41" i="4" s="1"/>
  <c r="M20" i="6" s="1"/>
  <c r="M19" i="6" s="1"/>
  <c r="M69" i="4"/>
  <c r="M67" i="4" s="1"/>
  <c r="M6" i="6"/>
  <c r="M29" i="4"/>
  <c r="M32" i="4" s="1"/>
  <c r="M16" i="6" s="1"/>
  <c r="AB63" i="4"/>
  <c r="AB56" i="4"/>
  <c r="AC3" i="4"/>
  <c r="AB46" i="4"/>
  <c r="M7" i="6"/>
  <c r="M15" i="4"/>
  <c r="T29" i="1"/>
  <c r="S22" i="4"/>
  <c r="Z3" i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O4" i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N8" i="1" s="1"/>
  <c r="O8" i="1" s="1"/>
  <c r="P8" i="1" s="1"/>
  <c r="Q8" i="1" s="1"/>
  <c r="R8" i="1" s="1"/>
  <c r="S8" i="1" s="1"/>
  <c r="T8" i="1" s="1"/>
  <c r="U8" i="1" s="1"/>
  <c r="V8" i="1" s="1"/>
  <c r="Y23" i="4" l="1"/>
  <c r="AD3" i="3"/>
  <c r="W8" i="1"/>
  <c r="N32" i="1"/>
  <c r="T58" i="4"/>
  <c r="T22" i="6" s="1"/>
  <c r="AH59" i="1"/>
  <c r="AG80" i="4"/>
  <c r="AG79" i="4" s="1"/>
  <c r="AB23" i="6"/>
  <c r="N51" i="1"/>
  <c r="AG45" i="1"/>
  <c r="AF71" i="4"/>
  <c r="R70" i="4"/>
  <c r="AH54" i="1"/>
  <c r="AG77" i="4"/>
  <c r="AF46" i="1"/>
  <c r="AE72" i="4"/>
  <c r="AE70" i="4" s="1"/>
  <c r="T45" i="1"/>
  <c r="S71" i="4"/>
  <c r="S45" i="4"/>
  <c r="T48" i="1"/>
  <c r="S74" i="4"/>
  <c r="S48" i="4"/>
  <c r="V53" i="1"/>
  <c r="U76" i="4"/>
  <c r="U55" i="4"/>
  <c r="N12" i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T75" i="4"/>
  <c r="V54" i="1"/>
  <c r="U77" i="4"/>
  <c r="U56" i="4"/>
  <c r="T47" i="1"/>
  <c r="S73" i="4"/>
  <c r="S47" i="4"/>
  <c r="N57" i="1"/>
  <c r="AT55" i="1"/>
  <c r="AS78" i="4"/>
  <c r="AS57" i="4"/>
  <c r="T46" i="1"/>
  <c r="S72" i="4"/>
  <c r="S46" i="4"/>
  <c r="N50" i="1"/>
  <c r="V55" i="1"/>
  <c r="U78" i="4"/>
  <c r="U57" i="4"/>
  <c r="R49" i="4"/>
  <c r="R21" i="6" s="1"/>
  <c r="AT54" i="1"/>
  <c r="AS77" i="4"/>
  <c r="AS56" i="4"/>
  <c r="M17" i="4"/>
  <c r="M11" i="6" s="1"/>
  <c r="M81" i="4"/>
  <c r="M82" i="4" s="1"/>
  <c r="M15" i="7"/>
  <c r="M21" i="8" s="1"/>
  <c r="M15" i="8" s="1"/>
  <c r="M42" i="4"/>
  <c r="AC63" i="4"/>
  <c r="AC56" i="4"/>
  <c r="AD3" i="4"/>
  <c r="AC46" i="4"/>
  <c r="M21" i="3"/>
  <c r="N13" i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N11" i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N6" i="1"/>
  <c r="N35" i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N34" i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N36" i="1"/>
  <c r="M11" i="4"/>
  <c r="U29" i="1"/>
  <c r="V29" i="1" s="1"/>
  <c r="T22" i="4"/>
  <c r="N39" i="1"/>
  <c r="N31" i="1"/>
  <c r="N38" i="1"/>
  <c r="N24" i="1"/>
  <c r="N14" i="4" s="1"/>
  <c r="N18" i="1"/>
  <c r="N19" i="1"/>
  <c r="N21" i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N17" i="1"/>
  <c r="N22" i="1"/>
  <c r="N7" i="1"/>
  <c r="N9" i="1"/>
  <c r="O32" i="1" l="1"/>
  <c r="N25" i="4"/>
  <c r="N27" i="4" s="1"/>
  <c r="N24" i="3" s="1"/>
  <c r="Z23" i="4"/>
  <c r="AE3" i="3"/>
  <c r="X8" i="1"/>
  <c r="S70" i="4"/>
  <c r="U48" i="1"/>
  <c r="T74" i="4"/>
  <c r="T48" i="4"/>
  <c r="S49" i="4"/>
  <c r="S21" i="6" s="1"/>
  <c r="AH45" i="1"/>
  <c r="AG71" i="4"/>
  <c r="O57" i="1"/>
  <c r="N61" i="4"/>
  <c r="AC23" i="6"/>
  <c r="U58" i="4"/>
  <c r="U22" i="6" s="1"/>
  <c r="U46" i="1"/>
  <c r="T72" i="4"/>
  <c r="T46" i="4"/>
  <c r="U75" i="4"/>
  <c r="U45" i="1"/>
  <c r="T71" i="4"/>
  <c r="T45" i="4"/>
  <c r="O51" i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W55" i="1"/>
  <c r="V78" i="4"/>
  <c r="V57" i="4"/>
  <c r="U47" i="1"/>
  <c r="T73" i="4"/>
  <c r="T47" i="4"/>
  <c r="W53" i="1"/>
  <c r="V76" i="4"/>
  <c r="V55" i="4"/>
  <c r="AG46" i="1"/>
  <c r="AF72" i="4"/>
  <c r="O50" i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AU55" i="1"/>
  <c r="AT78" i="4"/>
  <c r="AT57" i="4"/>
  <c r="AU54" i="1"/>
  <c r="AT77" i="4"/>
  <c r="AT56" i="4"/>
  <c r="W54" i="1"/>
  <c r="V77" i="4"/>
  <c r="V56" i="4"/>
  <c r="AI54" i="1"/>
  <c r="AH77" i="4"/>
  <c r="AI59" i="1"/>
  <c r="AH80" i="4"/>
  <c r="AH79" i="4" s="1"/>
  <c r="M52" i="4"/>
  <c r="M53" i="4"/>
  <c r="M18" i="4"/>
  <c r="M10" i="4"/>
  <c r="AD56" i="4"/>
  <c r="AD63" i="4"/>
  <c r="AE3" i="4"/>
  <c r="AD46" i="4"/>
  <c r="Y9" i="3"/>
  <c r="O36" i="1"/>
  <c r="N31" i="4"/>
  <c r="N16" i="3"/>
  <c r="N30" i="4"/>
  <c r="O39" i="1"/>
  <c r="N35" i="4"/>
  <c r="O6" i="1"/>
  <c r="U22" i="4"/>
  <c r="O38" i="1"/>
  <c r="N34" i="4"/>
  <c r="N24" i="4"/>
  <c r="N26" i="4" s="1"/>
  <c r="O31" i="1"/>
  <c r="O22" i="1"/>
  <c r="N12" i="4"/>
  <c r="O17" i="1"/>
  <c r="N7" i="4"/>
  <c r="O19" i="1"/>
  <c r="N9" i="4"/>
  <c r="O18" i="1"/>
  <c r="N8" i="4"/>
  <c r="O24" i="1"/>
  <c r="O14" i="4" s="1"/>
  <c r="O9" i="1"/>
  <c r="O7" i="1"/>
  <c r="AA23" i="4" l="1"/>
  <c r="P32" i="1"/>
  <c r="O25" i="4"/>
  <c r="O27" i="4" s="1"/>
  <c r="O24" i="3" s="1"/>
  <c r="N7" i="3"/>
  <c r="Y42" i="3"/>
  <c r="AF3" i="3"/>
  <c r="Y8" i="1"/>
  <c r="Y31" i="3" s="1"/>
  <c r="Y32" i="3" s="1"/>
  <c r="BV51" i="1"/>
  <c r="V58" i="4"/>
  <c r="V22" i="6" s="1"/>
  <c r="V75" i="4"/>
  <c r="T49" i="4"/>
  <c r="T21" i="6" s="1"/>
  <c r="P57" i="1"/>
  <c r="O61" i="4"/>
  <c r="AI45" i="1"/>
  <c r="AH71" i="4"/>
  <c r="X55" i="1"/>
  <c r="W78" i="4"/>
  <c r="W57" i="4"/>
  <c r="AV55" i="1"/>
  <c r="AU78" i="4"/>
  <c r="AU57" i="4"/>
  <c r="V46" i="1"/>
  <c r="U72" i="4"/>
  <c r="U46" i="4"/>
  <c r="BV50" i="1"/>
  <c r="X53" i="1"/>
  <c r="W76" i="4"/>
  <c r="W55" i="4"/>
  <c r="Z51" i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Z50" i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T70" i="4"/>
  <c r="AH46" i="1"/>
  <c r="AG72" i="4"/>
  <c r="V47" i="1"/>
  <c r="U73" i="4"/>
  <c r="U47" i="4"/>
  <c r="V45" i="1"/>
  <c r="U71" i="4"/>
  <c r="U45" i="4"/>
  <c r="AD23" i="6"/>
  <c r="AJ54" i="1"/>
  <c r="AJ77" i="4" s="1"/>
  <c r="AI77" i="4"/>
  <c r="X54" i="1"/>
  <c r="W77" i="4"/>
  <c r="W56" i="4"/>
  <c r="AJ59" i="1"/>
  <c r="AI80" i="4"/>
  <c r="AI79" i="4" s="1"/>
  <c r="AV54" i="1"/>
  <c r="AU77" i="4"/>
  <c r="AU56" i="4"/>
  <c r="N18" i="6"/>
  <c r="N64" i="4"/>
  <c r="V48" i="1"/>
  <c r="U74" i="4"/>
  <c r="U48" i="4"/>
  <c r="M17" i="6"/>
  <c r="M24" i="6" s="1"/>
  <c r="M59" i="4"/>
  <c r="M10" i="6"/>
  <c r="M12" i="6" s="1"/>
  <c r="M13" i="6" s="1"/>
  <c r="N6" i="4"/>
  <c r="AE56" i="4"/>
  <c r="AE63" i="4"/>
  <c r="AF3" i="4"/>
  <c r="AE47" i="4"/>
  <c r="AE48" i="4"/>
  <c r="AE46" i="4"/>
  <c r="AE45" i="4"/>
  <c r="P36" i="1"/>
  <c r="O31" i="4"/>
  <c r="O16" i="3"/>
  <c r="O30" i="4"/>
  <c r="P6" i="1"/>
  <c r="W29" i="1"/>
  <c r="V22" i="4"/>
  <c r="P39" i="1"/>
  <c r="O35" i="4"/>
  <c r="N36" i="4"/>
  <c r="N68" i="4" s="1"/>
  <c r="P38" i="1"/>
  <c r="O34" i="4"/>
  <c r="O24" i="4"/>
  <c r="O26" i="4" s="1"/>
  <c r="P31" i="1"/>
  <c r="P18" i="1"/>
  <c r="O8" i="4"/>
  <c r="P19" i="1"/>
  <c r="O9" i="4"/>
  <c r="P17" i="1"/>
  <c r="O7" i="4"/>
  <c r="P24" i="1"/>
  <c r="P14" i="4" s="1"/>
  <c r="P22" i="1"/>
  <c r="O12" i="4"/>
  <c r="P7" i="1"/>
  <c r="Q7" i="1" s="1"/>
  <c r="P9" i="1"/>
  <c r="Q32" i="1" l="1"/>
  <c r="P25" i="4"/>
  <c r="P27" i="4" s="1"/>
  <c r="P24" i="3" s="1"/>
  <c r="AB23" i="4"/>
  <c r="N40" i="3"/>
  <c r="N43" i="3" s="1"/>
  <c r="O41" i="3" s="1"/>
  <c r="O7" i="3"/>
  <c r="AG3" i="3"/>
  <c r="N29" i="3"/>
  <c r="N35" i="3" s="1"/>
  <c r="N27" i="3"/>
  <c r="O25" i="3" s="1"/>
  <c r="Z26" i="3"/>
  <c r="Z8" i="1"/>
  <c r="U49" i="4"/>
  <c r="U21" i="6" s="1"/>
  <c r="U70" i="4"/>
  <c r="BW50" i="1"/>
  <c r="Z55" i="1"/>
  <c r="X78" i="4"/>
  <c r="X57" i="4"/>
  <c r="AL50" i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BW51" i="1"/>
  <c r="W46" i="1"/>
  <c r="V72" i="4"/>
  <c r="V46" i="4"/>
  <c r="AJ45" i="1"/>
  <c r="AI71" i="4"/>
  <c r="X77" i="4"/>
  <c r="X56" i="4"/>
  <c r="W45" i="1"/>
  <c r="V71" i="4"/>
  <c r="V45" i="4"/>
  <c r="AW54" i="1"/>
  <c r="AV77" i="4"/>
  <c r="AV56" i="4"/>
  <c r="O18" i="6"/>
  <c r="O64" i="4"/>
  <c r="AL51" i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W48" i="1"/>
  <c r="V74" i="4"/>
  <c r="V48" i="4"/>
  <c r="W47" i="1"/>
  <c r="V73" i="4"/>
  <c r="V47" i="4"/>
  <c r="W58" i="4"/>
  <c r="W22" i="6" s="1"/>
  <c r="AE23" i="6"/>
  <c r="AL59" i="1"/>
  <c r="AJ80" i="4"/>
  <c r="AJ79" i="4" s="1"/>
  <c r="W75" i="4"/>
  <c r="AW55" i="1"/>
  <c r="AV78" i="4"/>
  <c r="AV57" i="4"/>
  <c r="Q57" i="1"/>
  <c r="P61" i="4"/>
  <c r="AI46" i="1"/>
  <c r="AH72" i="4"/>
  <c r="Z53" i="1"/>
  <c r="X76" i="4"/>
  <c r="X55" i="4"/>
  <c r="M26" i="6"/>
  <c r="M27" i="6" s="1"/>
  <c r="N12" i="3"/>
  <c r="Z9" i="3"/>
  <c r="M14" i="6"/>
  <c r="N9" i="6"/>
  <c r="O6" i="4"/>
  <c r="O9" i="6" s="1"/>
  <c r="AF63" i="4"/>
  <c r="AF56" i="4"/>
  <c r="AG3" i="4"/>
  <c r="AF46" i="4"/>
  <c r="AF45" i="4"/>
  <c r="AE49" i="4"/>
  <c r="AE21" i="6" s="1"/>
  <c r="Q36" i="1"/>
  <c r="P31" i="4"/>
  <c r="N37" i="4"/>
  <c r="N39" i="4"/>
  <c r="Q39" i="1"/>
  <c r="P35" i="4"/>
  <c r="W22" i="4"/>
  <c r="X29" i="1"/>
  <c r="Y29" i="1" s="1"/>
  <c r="Q6" i="1"/>
  <c r="O36" i="4"/>
  <c r="O68" i="4" s="1"/>
  <c r="Q38" i="1"/>
  <c r="P34" i="4"/>
  <c r="N10" i="3"/>
  <c r="P24" i="4"/>
  <c r="P26" i="4" s="1"/>
  <c r="Q31" i="1"/>
  <c r="Q24" i="1"/>
  <c r="Q14" i="4" s="1"/>
  <c r="Q17" i="1"/>
  <c r="P7" i="4"/>
  <c r="Q18" i="1"/>
  <c r="P8" i="4"/>
  <c r="Q19" i="1"/>
  <c r="P9" i="4"/>
  <c r="Q22" i="1"/>
  <c r="P12" i="4"/>
  <c r="Q9" i="1"/>
  <c r="R7" i="1"/>
  <c r="AC23" i="4" l="1"/>
  <c r="R32" i="1"/>
  <c r="Q25" i="4"/>
  <c r="Q27" i="4" s="1"/>
  <c r="Q24" i="3" s="1"/>
  <c r="N45" i="3"/>
  <c r="N51" i="3" s="1"/>
  <c r="P7" i="3"/>
  <c r="Z42" i="3"/>
  <c r="BX51" i="1"/>
  <c r="Z31" i="3"/>
  <c r="Z32" i="3" s="1"/>
  <c r="O12" i="3"/>
  <c r="O40" i="3"/>
  <c r="O43" i="3" s="1"/>
  <c r="P41" i="3" s="1"/>
  <c r="AH3" i="3"/>
  <c r="N37" i="3"/>
  <c r="O29" i="3"/>
  <c r="O35" i="3" s="1"/>
  <c r="O27" i="3"/>
  <c r="P25" i="3" s="1"/>
  <c r="AA9" i="3"/>
  <c r="AA26" i="3"/>
  <c r="AA8" i="1"/>
  <c r="X58" i="4"/>
  <c r="X22" i="6" s="1"/>
  <c r="P18" i="6"/>
  <c r="P64" i="4"/>
  <c r="R57" i="1"/>
  <c r="Q61" i="4"/>
  <c r="AF23" i="6"/>
  <c r="X75" i="4"/>
  <c r="BX50" i="1"/>
  <c r="AA53" i="1"/>
  <c r="Z76" i="4"/>
  <c r="Z55" i="4"/>
  <c r="AX55" i="1"/>
  <c r="AW78" i="4"/>
  <c r="AW57" i="4"/>
  <c r="X47" i="1"/>
  <c r="W73" i="4"/>
  <c r="W47" i="4"/>
  <c r="AX50" i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AJ46" i="1"/>
  <c r="AI72" i="4"/>
  <c r="AL45" i="1"/>
  <c r="AJ71" i="4"/>
  <c r="AM59" i="1"/>
  <c r="AL80" i="4"/>
  <c r="AL79" i="4" s="1"/>
  <c r="AL63" i="4"/>
  <c r="AL23" i="6" s="1"/>
  <c r="AX54" i="1"/>
  <c r="AW77" i="4"/>
  <c r="AW56" i="4"/>
  <c r="X48" i="1"/>
  <c r="W74" i="4"/>
  <c r="W48" i="4"/>
  <c r="V49" i="4"/>
  <c r="V21" i="6" s="1"/>
  <c r="AA55" i="1"/>
  <c r="Z78" i="4"/>
  <c r="Z57" i="4"/>
  <c r="V70" i="4"/>
  <c r="X46" i="1"/>
  <c r="W72" i="4"/>
  <c r="W46" i="4"/>
  <c r="AX51" i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X45" i="1"/>
  <c r="W71" i="4"/>
  <c r="W45" i="4"/>
  <c r="M32" i="6"/>
  <c r="M33" i="6" s="1"/>
  <c r="N40" i="4"/>
  <c r="N41" i="4" s="1"/>
  <c r="N20" i="6" s="1"/>
  <c r="N69" i="4"/>
  <c r="N67" i="4" s="1"/>
  <c r="P6" i="4"/>
  <c r="P9" i="6" s="1"/>
  <c r="AG63" i="4"/>
  <c r="AG56" i="4"/>
  <c r="AH3" i="4"/>
  <c r="AG46" i="4"/>
  <c r="AG45" i="4"/>
  <c r="R36" i="1"/>
  <c r="Q31" i="4"/>
  <c r="Q16" i="3"/>
  <c r="Q30" i="4"/>
  <c r="P16" i="3"/>
  <c r="P30" i="4"/>
  <c r="O37" i="4"/>
  <c r="O39" i="4"/>
  <c r="R6" i="1"/>
  <c r="X22" i="4"/>
  <c r="R39" i="1"/>
  <c r="Q35" i="4"/>
  <c r="P36" i="4"/>
  <c r="P68" i="4" s="1"/>
  <c r="R38" i="1"/>
  <c r="Q34" i="4"/>
  <c r="Q24" i="4"/>
  <c r="Q26" i="4" s="1"/>
  <c r="R31" i="1"/>
  <c r="O8" i="3"/>
  <c r="N15" i="4"/>
  <c r="R19" i="1"/>
  <c r="Q9" i="4"/>
  <c r="R18" i="1"/>
  <c r="Q8" i="4"/>
  <c r="R17" i="1"/>
  <c r="Q7" i="4"/>
  <c r="R22" i="1"/>
  <c r="Q12" i="4"/>
  <c r="R24" i="1"/>
  <c r="R14" i="4" s="1"/>
  <c r="R9" i="1"/>
  <c r="S7" i="1"/>
  <c r="S32" i="1" l="1"/>
  <c r="R25" i="4"/>
  <c r="R27" i="4" s="1"/>
  <c r="R24" i="3" s="1"/>
  <c r="AD23" i="4"/>
  <c r="Q7" i="3"/>
  <c r="AA31" i="3"/>
  <c r="AA32" i="3" s="1"/>
  <c r="AA42" i="3"/>
  <c r="P12" i="3"/>
  <c r="P40" i="3"/>
  <c r="P43" i="3" s="1"/>
  <c r="Q41" i="3" s="1"/>
  <c r="O45" i="3"/>
  <c r="O51" i="3" s="1"/>
  <c r="P27" i="3"/>
  <c r="Q25" i="3" s="1"/>
  <c r="AI3" i="3"/>
  <c r="AB9" i="3"/>
  <c r="AB26" i="3"/>
  <c r="P29" i="3"/>
  <c r="P35" i="3" s="1"/>
  <c r="O37" i="3"/>
  <c r="O38" i="3" s="1"/>
  <c r="N38" i="3"/>
  <c r="AB8" i="1"/>
  <c r="Z58" i="4"/>
  <c r="Z22" i="6" s="1"/>
  <c r="BJ51" i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AY54" i="1"/>
  <c r="AX77" i="4"/>
  <c r="AX56" i="4"/>
  <c r="AG23" i="6"/>
  <c r="AB55" i="1"/>
  <c r="AA78" i="4"/>
  <c r="AA57" i="4"/>
  <c r="BY50" i="1"/>
  <c r="AY55" i="1"/>
  <c r="AX78" i="4"/>
  <c r="AX57" i="4"/>
  <c r="BJ50" i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Q18" i="6"/>
  <c r="Q64" i="4"/>
  <c r="S57" i="1"/>
  <c r="R61" i="4"/>
  <c r="AN59" i="1"/>
  <c r="AM80" i="4"/>
  <c r="AM79" i="4" s="1"/>
  <c r="AM63" i="4"/>
  <c r="W49" i="4"/>
  <c r="W21" i="6" s="1"/>
  <c r="Z75" i="4"/>
  <c r="W70" i="4"/>
  <c r="X72" i="4"/>
  <c r="X46" i="4"/>
  <c r="Y48" i="1"/>
  <c r="X74" i="4"/>
  <c r="X48" i="4"/>
  <c r="AM45" i="1"/>
  <c r="AL71" i="4"/>
  <c r="AL45" i="4"/>
  <c r="AB53" i="1"/>
  <c r="AA76" i="4"/>
  <c r="AA55" i="4"/>
  <c r="Y45" i="1"/>
  <c r="X71" i="4"/>
  <c r="X45" i="4"/>
  <c r="BY51" i="1"/>
  <c r="AL46" i="1"/>
  <c r="AJ72" i="4"/>
  <c r="Y47" i="1"/>
  <c r="X73" i="4"/>
  <c r="X47" i="4"/>
  <c r="O40" i="4"/>
  <c r="O41" i="4" s="1"/>
  <c r="O20" i="6" s="1"/>
  <c r="O19" i="6" s="1"/>
  <c r="O69" i="4"/>
  <c r="O67" i="4" s="1"/>
  <c r="N17" i="4"/>
  <c r="N11" i="6" s="1"/>
  <c r="N81" i="4"/>
  <c r="N82" i="4" s="1"/>
  <c r="N19" i="6"/>
  <c r="Q6" i="4"/>
  <c r="Q9" i="6" s="1"/>
  <c r="M36" i="6"/>
  <c r="AH63" i="4"/>
  <c r="AH56" i="4"/>
  <c r="AI3" i="4"/>
  <c r="AH45" i="4"/>
  <c r="AH46" i="4"/>
  <c r="S36" i="1"/>
  <c r="R31" i="4"/>
  <c r="N18" i="3"/>
  <c r="N29" i="4"/>
  <c r="N32" i="4" s="1"/>
  <c r="N16" i="6" s="1"/>
  <c r="R16" i="3"/>
  <c r="R30" i="4"/>
  <c r="P37" i="4"/>
  <c r="P39" i="4"/>
  <c r="Y22" i="4"/>
  <c r="Z29" i="1"/>
  <c r="S6" i="1"/>
  <c r="S39" i="1"/>
  <c r="R35" i="4"/>
  <c r="Q36" i="4"/>
  <c r="Q68" i="4" s="1"/>
  <c r="S38" i="1"/>
  <c r="R34" i="4"/>
  <c r="R24" i="4"/>
  <c r="R26" i="4" s="1"/>
  <c r="S31" i="1"/>
  <c r="O10" i="3"/>
  <c r="S22" i="1"/>
  <c r="R12" i="4"/>
  <c r="S18" i="1"/>
  <c r="R8" i="4"/>
  <c r="S17" i="1"/>
  <c r="R7" i="4"/>
  <c r="S24" i="1"/>
  <c r="S14" i="4" s="1"/>
  <c r="S19" i="1"/>
  <c r="R9" i="4"/>
  <c r="S9" i="1"/>
  <c r="T7" i="1"/>
  <c r="AE23" i="4" l="1"/>
  <c r="T32" i="1"/>
  <c r="S25" i="4"/>
  <c r="S27" i="4" s="1"/>
  <c r="S24" i="3" s="1"/>
  <c r="R7" i="3"/>
  <c r="AB31" i="3"/>
  <c r="AB32" i="3" s="1"/>
  <c r="AB42" i="3"/>
  <c r="AC9" i="3"/>
  <c r="Q40" i="3"/>
  <c r="Q43" i="3" s="1"/>
  <c r="R41" i="3" s="1"/>
  <c r="P45" i="3"/>
  <c r="P51" i="3" s="1"/>
  <c r="AJ3" i="3"/>
  <c r="BV15" i="3"/>
  <c r="BV14" i="3"/>
  <c r="Q12" i="3"/>
  <c r="P37" i="3"/>
  <c r="P38" i="3" s="1"/>
  <c r="Q29" i="3"/>
  <c r="Q35" i="3" s="1"/>
  <c r="Q27" i="3"/>
  <c r="R25" i="3" s="1"/>
  <c r="AC26" i="3"/>
  <c r="AC8" i="1"/>
  <c r="AD26" i="3"/>
  <c r="BZ51" i="1"/>
  <c r="AA58" i="4"/>
  <c r="AA22" i="6" s="1"/>
  <c r="BZ50" i="1"/>
  <c r="AA75" i="4"/>
  <c r="Y71" i="4"/>
  <c r="Z45" i="1"/>
  <c r="Y45" i="4"/>
  <c r="AM23" i="6"/>
  <c r="Z48" i="1"/>
  <c r="Y74" i="4"/>
  <c r="Y48" i="4"/>
  <c r="AZ55" i="1"/>
  <c r="AY78" i="4"/>
  <c r="AY57" i="4"/>
  <c r="AO59" i="1"/>
  <c r="AN80" i="4"/>
  <c r="AN79" i="4" s="1"/>
  <c r="AN63" i="4"/>
  <c r="AZ54" i="1"/>
  <c r="AY77" i="4"/>
  <c r="AY56" i="4"/>
  <c r="AH23" i="6"/>
  <c r="AM46" i="1"/>
  <c r="AL72" i="4"/>
  <c r="AL46" i="4"/>
  <c r="AC53" i="1"/>
  <c r="AB76" i="4"/>
  <c r="AB55" i="4"/>
  <c r="R18" i="6"/>
  <c r="R64" i="4"/>
  <c r="T57" i="1"/>
  <c r="S61" i="4"/>
  <c r="Z47" i="1"/>
  <c r="Y73" i="4"/>
  <c r="Y47" i="4"/>
  <c r="X49" i="4"/>
  <c r="X21" i="6" s="1"/>
  <c r="AC55" i="1"/>
  <c r="AB78" i="4"/>
  <c r="AB57" i="4"/>
  <c r="X70" i="4"/>
  <c r="AN45" i="1"/>
  <c r="AM71" i="4"/>
  <c r="AM45" i="4"/>
  <c r="P40" i="4"/>
  <c r="P41" i="4" s="1"/>
  <c r="P20" i="6" s="1"/>
  <c r="P19" i="6" s="1"/>
  <c r="P69" i="4"/>
  <c r="P67" i="4" s="1"/>
  <c r="N53" i="4"/>
  <c r="N52" i="4"/>
  <c r="N6" i="6"/>
  <c r="M6" i="8"/>
  <c r="M14" i="8" s="1"/>
  <c r="M8" i="7"/>
  <c r="M9" i="7" s="1"/>
  <c r="M20" i="7" s="1"/>
  <c r="M37" i="6"/>
  <c r="N42" i="4"/>
  <c r="R6" i="4"/>
  <c r="AI63" i="4"/>
  <c r="AI56" i="4"/>
  <c r="AJ3" i="4"/>
  <c r="AI46" i="4"/>
  <c r="AI45" i="4"/>
  <c r="N11" i="4"/>
  <c r="N20" i="3"/>
  <c r="T36" i="1"/>
  <c r="S31" i="4"/>
  <c r="S16" i="3"/>
  <c r="S30" i="4"/>
  <c r="O18" i="3"/>
  <c r="O29" i="4"/>
  <c r="Q37" i="4"/>
  <c r="Q39" i="4"/>
  <c r="T39" i="1"/>
  <c r="S35" i="4"/>
  <c r="T6" i="1"/>
  <c r="AA29" i="1"/>
  <c r="AB29" i="1" s="1"/>
  <c r="Z22" i="4"/>
  <c r="R36" i="4"/>
  <c r="R68" i="4" s="1"/>
  <c r="T38" i="1"/>
  <c r="S34" i="4"/>
  <c r="S24" i="4"/>
  <c r="S26" i="4" s="1"/>
  <c r="T31" i="1"/>
  <c r="P8" i="3"/>
  <c r="P10" i="3" s="1"/>
  <c r="O15" i="4"/>
  <c r="T24" i="1"/>
  <c r="T14" i="4" s="1"/>
  <c r="T18" i="1"/>
  <c r="S8" i="4"/>
  <c r="T17" i="1"/>
  <c r="S7" i="4"/>
  <c r="T19" i="1"/>
  <c r="S9" i="4"/>
  <c r="T22" i="1"/>
  <c r="S12" i="4"/>
  <c r="T9" i="1"/>
  <c r="U7" i="1"/>
  <c r="U32" i="1" l="1"/>
  <c r="T25" i="4"/>
  <c r="T27" i="4" s="1"/>
  <c r="T24" i="3" s="1"/>
  <c r="AF23" i="4"/>
  <c r="S7" i="3"/>
  <c r="AC31" i="3"/>
  <c r="AC32" i="3" s="1"/>
  <c r="Q45" i="3"/>
  <c r="Q51" i="3" s="1"/>
  <c r="R12" i="3"/>
  <c r="R40" i="3"/>
  <c r="R43" i="3" s="1"/>
  <c r="S41" i="3" s="1"/>
  <c r="AC42" i="3"/>
  <c r="BV31" i="3"/>
  <c r="BV26" i="3"/>
  <c r="BV33" i="3"/>
  <c r="BV32" i="3"/>
  <c r="BV9" i="3"/>
  <c r="AD9" i="3"/>
  <c r="AD42" i="3" s="1"/>
  <c r="N7" i="6"/>
  <c r="N52" i="3"/>
  <c r="AD31" i="3"/>
  <c r="AD32" i="3" s="1"/>
  <c r="R29" i="3"/>
  <c r="R35" i="3" s="1"/>
  <c r="Q37" i="3"/>
  <c r="Q38" i="3" s="1"/>
  <c r="R27" i="3"/>
  <c r="S25" i="3" s="1"/>
  <c r="AD8" i="1"/>
  <c r="AB58" i="4"/>
  <c r="AB22" i="6" s="1"/>
  <c r="AN46" i="1"/>
  <c r="AM72" i="4"/>
  <c r="AM46" i="4"/>
  <c r="AA48" i="1"/>
  <c r="Z74" i="4"/>
  <c r="Z48" i="4"/>
  <c r="AO45" i="1"/>
  <c r="AN71" i="4"/>
  <c r="AN45" i="4"/>
  <c r="AP59" i="1"/>
  <c r="AO80" i="4"/>
  <c r="AO79" i="4" s="1"/>
  <c r="AO63" i="4"/>
  <c r="AI23" i="6"/>
  <c r="AN23" i="6"/>
  <c r="AA47" i="1"/>
  <c r="Z73" i="4"/>
  <c r="Z47" i="4"/>
  <c r="Y49" i="4"/>
  <c r="Y21" i="6" s="1"/>
  <c r="S18" i="6"/>
  <c r="S64" i="4"/>
  <c r="AB75" i="4"/>
  <c r="Z71" i="4"/>
  <c r="AA45" i="1"/>
  <c r="Z45" i="4"/>
  <c r="U57" i="1"/>
  <c r="T61" i="4"/>
  <c r="AD53" i="1"/>
  <c r="AC76" i="4"/>
  <c r="AC55" i="4"/>
  <c r="BA54" i="1"/>
  <c r="AZ77" i="4"/>
  <c r="AZ56" i="4"/>
  <c r="BA55" i="1"/>
  <c r="AZ78" i="4"/>
  <c r="AZ57" i="4"/>
  <c r="Y70" i="4"/>
  <c r="AD55" i="1"/>
  <c r="AC78" i="4"/>
  <c r="AC57" i="4"/>
  <c r="Q40" i="4"/>
  <c r="Q41" i="4" s="1"/>
  <c r="Q20" i="6" s="1"/>
  <c r="Q19" i="6" s="1"/>
  <c r="Q69" i="4"/>
  <c r="Q67" i="4" s="1"/>
  <c r="O17" i="4"/>
  <c r="O11" i="6" s="1"/>
  <c r="O81" i="4"/>
  <c r="O82" i="4" s="1"/>
  <c r="N17" i="6"/>
  <c r="N59" i="4"/>
  <c r="N15" i="7"/>
  <c r="O6" i="6"/>
  <c r="M25" i="8"/>
  <c r="M41" i="8" s="1"/>
  <c r="M43" i="8" s="1"/>
  <c r="O42" i="4"/>
  <c r="O32" i="4"/>
  <c r="O16" i="6" s="1"/>
  <c r="BV58" i="4"/>
  <c r="BV57" i="4"/>
  <c r="BV63" i="4"/>
  <c r="BV47" i="4"/>
  <c r="BV56" i="4"/>
  <c r="BV46" i="4"/>
  <c r="BV55" i="4"/>
  <c r="BV48" i="4"/>
  <c r="BV45" i="4"/>
  <c r="BX56" i="4"/>
  <c r="BV49" i="4"/>
  <c r="BX57" i="4"/>
  <c r="N18" i="4"/>
  <c r="N10" i="4"/>
  <c r="R9" i="6"/>
  <c r="S6" i="4"/>
  <c r="S9" i="6" s="1"/>
  <c r="AJ56" i="4"/>
  <c r="BW56" i="4" s="1"/>
  <c r="AJ63" i="4"/>
  <c r="AJ23" i="6" s="1"/>
  <c r="AJ46" i="4"/>
  <c r="BW46" i="4" s="1"/>
  <c r="AJ45" i="4"/>
  <c r="N21" i="3"/>
  <c r="O11" i="4"/>
  <c r="O20" i="3"/>
  <c r="U36" i="1"/>
  <c r="T31" i="4"/>
  <c r="T16" i="3"/>
  <c r="T30" i="4"/>
  <c r="P18" i="3"/>
  <c r="P29" i="4"/>
  <c r="R37" i="4"/>
  <c r="R39" i="4"/>
  <c r="U6" i="1"/>
  <c r="AA22" i="4"/>
  <c r="U39" i="1"/>
  <c r="T35" i="4"/>
  <c r="S36" i="4"/>
  <c r="S68" i="4" s="1"/>
  <c r="U38" i="1"/>
  <c r="T34" i="4"/>
  <c r="Q8" i="3"/>
  <c r="Q10" i="3" s="1"/>
  <c r="P15" i="4"/>
  <c r="U31" i="1"/>
  <c r="T24" i="4"/>
  <c r="T26" i="4" s="1"/>
  <c r="U19" i="1"/>
  <c r="T9" i="4"/>
  <c r="U17" i="1"/>
  <c r="T7" i="4"/>
  <c r="U18" i="1"/>
  <c r="T8" i="4"/>
  <c r="U22" i="1"/>
  <c r="T12" i="4"/>
  <c r="U24" i="1"/>
  <c r="U14" i="4" s="1"/>
  <c r="U9" i="1"/>
  <c r="V7" i="1"/>
  <c r="AG23" i="4" l="1"/>
  <c r="V32" i="1"/>
  <c r="U25" i="4"/>
  <c r="U27" i="4" s="1"/>
  <c r="U24" i="3" s="1"/>
  <c r="T7" i="3"/>
  <c r="AE9" i="3"/>
  <c r="S40" i="3"/>
  <c r="S43" i="3" s="1"/>
  <c r="T41" i="3" s="1"/>
  <c r="R45" i="3"/>
  <c r="R51" i="3" s="1"/>
  <c r="O7" i="6"/>
  <c r="O52" i="3"/>
  <c r="O53" i="3" s="1"/>
  <c r="S29" i="3"/>
  <c r="S35" i="3" s="1"/>
  <c r="S12" i="3"/>
  <c r="S27" i="3"/>
  <c r="T25" i="3" s="1"/>
  <c r="N53" i="3"/>
  <c r="AE26" i="3"/>
  <c r="R37" i="3"/>
  <c r="R38" i="3" s="1"/>
  <c r="AE8" i="1"/>
  <c r="AC75" i="4"/>
  <c r="AC58" i="4"/>
  <c r="AC22" i="6" s="1"/>
  <c r="Z70" i="4"/>
  <c r="Z49" i="4"/>
  <c r="Z21" i="6" s="1"/>
  <c r="BB54" i="1"/>
  <c r="BA77" i="4"/>
  <c r="BA56" i="4"/>
  <c r="AO23" i="6"/>
  <c r="AD78" i="4"/>
  <c r="AE55" i="1"/>
  <c r="AD57" i="4"/>
  <c r="AB45" i="1"/>
  <c r="AA71" i="4"/>
  <c r="AA45" i="4"/>
  <c r="AB47" i="1"/>
  <c r="AA73" i="4"/>
  <c r="AA47" i="4"/>
  <c r="AB48" i="1"/>
  <c r="AA74" i="4"/>
  <c r="AA48" i="4"/>
  <c r="AQ59" i="1"/>
  <c r="AP80" i="4"/>
  <c r="AP79" i="4" s="1"/>
  <c r="AP63" i="4"/>
  <c r="AD76" i="4"/>
  <c r="AE53" i="1"/>
  <c r="AD55" i="4"/>
  <c r="T18" i="6"/>
  <c r="T64" i="4"/>
  <c r="AO46" i="1"/>
  <c r="AN72" i="4"/>
  <c r="AN46" i="4"/>
  <c r="BB55" i="1"/>
  <c r="BA78" i="4"/>
  <c r="BA57" i="4"/>
  <c r="V57" i="1"/>
  <c r="U61" i="4"/>
  <c r="AP45" i="1"/>
  <c r="AO71" i="4"/>
  <c r="AO45" i="4"/>
  <c r="R40" i="4"/>
  <c r="R41" i="4" s="1"/>
  <c r="R20" i="6" s="1"/>
  <c r="R19" i="6" s="1"/>
  <c r="R69" i="4"/>
  <c r="R67" i="4" s="1"/>
  <c r="N24" i="6"/>
  <c r="P17" i="4"/>
  <c r="P11" i="6" s="1"/>
  <c r="P81" i="4"/>
  <c r="P82" i="4" s="1"/>
  <c r="O52" i="4"/>
  <c r="O53" i="4"/>
  <c r="O15" i="7"/>
  <c r="O21" i="8" s="1"/>
  <c r="O15" i="8" s="1"/>
  <c r="P6" i="6"/>
  <c r="N21" i="8"/>
  <c r="N42" i="8"/>
  <c r="M33" i="7"/>
  <c r="M35" i="7" s="1"/>
  <c r="M37" i="7" s="1"/>
  <c r="M38" i="7" s="1"/>
  <c r="P42" i="4"/>
  <c r="P32" i="4"/>
  <c r="P16" i="6" s="1"/>
  <c r="O18" i="4"/>
  <c r="O10" i="4"/>
  <c r="O10" i="6" s="1"/>
  <c r="O12" i="6" s="1"/>
  <c r="N10" i="6"/>
  <c r="BW63" i="4"/>
  <c r="T6" i="4"/>
  <c r="T9" i="6" s="1"/>
  <c r="O21" i="3"/>
  <c r="P11" i="4"/>
  <c r="P20" i="3"/>
  <c r="V36" i="1"/>
  <c r="U31" i="4"/>
  <c r="Q18" i="3"/>
  <c r="Q29" i="4"/>
  <c r="U16" i="3"/>
  <c r="U30" i="4"/>
  <c r="S37" i="4"/>
  <c r="S39" i="4"/>
  <c r="V39" i="1"/>
  <c r="U35" i="4"/>
  <c r="AC29" i="1"/>
  <c r="AB22" i="4"/>
  <c r="V6" i="1"/>
  <c r="T36" i="4"/>
  <c r="T68" i="4" s="1"/>
  <c r="V38" i="1"/>
  <c r="U34" i="4"/>
  <c r="R8" i="3"/>
  <c r="R10" i="3" s="1"/>
  <c r="Q15" i="4"/>
  <c r="U24" i="4"/>
  <c r="U26" i="4" s="1"/>
  <c r="V31" i="1"/>
  <c r="V22" i="1"/>
  <c r="U12" i="4"/>
  <c r="V18" i="1"/>
  <c r="U8" i="4"/>
  <c r="V17" i="1"/>
  <c r="U7" i="4"/>
  <c r="V24" i="1"/>
  <c r="V14" i="4" s="1"/>
  <c r="V19" i="1"/>
  <c r="U9" i="4"/>
  <c r="V9" i="1"/>
  <c r="W7" i="1"/>
  <c r="W32" i="1" l="1"/>
  <c r="V25" i="4"/>
  <c r="V27" i="4" s="1"/>
  <c r="V24" i="3" s="1"/>
  <c r="AH23" i="4"/>
  <c r="U7" i="3"/>
  <c r="AG9" i="3" s="1"/>
  <c r="O13" i="6"/>
  <c r="O14" i="6" s="1"/>
  <c r="AE31" i="3"/>
  <c r="AE32" i="3" s="1"/>
  <c r="AE42" i="3"/>
  <c r="S45" i="3"/>
  <c r="S51" i="3" s="1"/>
  <c r="T12" i="3"/>
  <c r="T40" i="3"/>
  <c r="T43" i="3" s="1"/>
  <c r="U41" i="3" s="1"/>
  <c r="T27" i="3"/>
  <c r="U25" i="3" s="1"/>
  <c r="T29" i="3"/>
  <c r="T35" i="3" s="1"/>
  <c r="S37" i="3"/>
  <c r="P7" i="6"/>
  <c r="P52" i="3"/>
  <c r="AF9" i="3"/>
  <c r="AF26" i="3"/>
  <c r="AF8" i="1"/>
  <c r="AG26" i="3"/>
  <c r="AD58" i="4"/>
  <c r="AD22" i="6" s="1"/>
  <c r="AD75" i="4"/>
  <c r="AC48" i="1"/>
  <c r="AB74" i="4"/>
  <c r="AB48" i="4"/>
  <c r="AE78" i="4"/>
  <c r="AF55" i="1"/>
  <c r="AE57" i="4"/>
  <c r="AE76" i="4"/>
  <c r="AF53" i="1"/>
  <c r="AE55" i="4"/>
  <c r="AQ45" i="1"/>
  <c r="AP71" i="4"/>
  <c r="AP45" i="4"/>
  <c r="AP46" i="1"/>
  <c r="AO72" i="4"/>
  <c r="AO46" i="4"/>
  <c r="AP23" i="6"/>
  <c r="AC47" i="1"/>
  <c r="AB73" i="4"/>
  <c r="AB47" i="4"/>
  <c r="U18" i="6"/>
  <c r="U64" i="4"/>
  <c r="AA49" i="4"/>
  <c r="AA21" i="6" s="1"/>
  <c r="W57" i="1"/>
  <c r="V61" i="4"/>
  <c r="AR59" i="1"/>
  <c r="AQ80" i="4"/>
  <c r="AQ79" i="4" s="1"/>
  <c r="AQ63" i="4"/>
  <c r="AA70" i="4"/>
  <c r="BC55" i="1"/>
  <c r="BB78" i="4"/>
  <c r="BB57" i="4"/>
  <c r="AC45" i="1"/>
  <c r="AB71" i="4"/>
  <c r="AB45" i="4"/>
  <c r="BC54" i="1"/>
  <c r="BB77" i="4"/>
  <c r="BB56" i="4"/>
  <c r="S40" i="4"/>
  <c r="S41" i="4" s="1"/>
  <c r="S20" i="6" s="1"/>
  <c r="S19" i="6" s="1"/>
  <c r="S69" i="4"/>
  <c r="S67" i="4" s="1"/>
  <c r="O17" i="6"/>
  <c r="O59" i="4"/>
  <c r="P52" i="4"/>
  <c r="P53" i="4"/>
  <c r="Q17" i="4"/>
  <c r="Q11" i="6" s="1"/>
  <c r="Q81" i="4"/>
  <c r="Q82" i="4" s="1"/>
  <c r="N15" i="8"/>
  <c r="Q6" i="6"/>
  <c r="P15" i="7"/>
  <c r="P21" i="8" s="1"/>
  <c r="P15" i="8" s="1"/>
  <c r="N12" i="6"/>
  <c r="Q42" i="4"/>
  <c r="Q32" i="4"/>
  <c r="Q16" i="6" s="1"/>
  <c r="P18" i="4"/>
  <c r="P10" i="4"/>
  <c r="U6" i="4"/>
  <c r="U9" i="6" s="1"/>
  <c r="Q20" i="3"/>
  <c r="P21" i="3"/>
  <c r="Q11" i="4"/>
  <c r="W36" i="1"/>
  <c r="V31" i="4"/>
  <c r="R18" i="3"/>
  <c r="R29" i="4"/>
  <c r="V16" i="3"/>
  <c r="V30" i="4"/>
  <c r="T37" i="4"/>
  <c r="T39" i="4"/>
  <c r="AC22" i="4"/>
  <c r="AD29" i="1"/>
  <c r="W39" i="1"/>
  <c r="V35" i="4"/>
  <c r="W6" i="1"/>
  <c r="U36" i="4"/>
  <c r="U68" i="4" s="1"/>
  <c r="W38" i="1"/>
  <c r="V34" i="4"/>
  <c r="W31" i="1"/>
  <c r="V24" i="4"/>
  <c r="V26" i="4" s="1"/>
  <c r="S8" i="3"/>
  <c r="S10" i="3" s="1"/>
  <c r="R15" i="4"/>
  <c r="W17" i="1"/>
  <c r="V7" i="4"/>
  <c r="W18" i="1"/>
  <c r="V8" i="4"/>
  <c r="W19" i="1"/>
  <c r="V9" i="4"/>
  <c r="W24" i="1"/>
  <c r="W14" i="4" s="1"/>
  <c r="W22" i="1"/>
  <c r="V12" i="4"/>
  <c r="W9" i="1"/>
  <c r="X7" i="1"/>
  <c r="AI23" i="4" l="1"/>
  <c r="X32" i="1"/>
  <c r="W25" i="4"/>
  <c r="W27" i="4" s="1"/>
  <c r="W24" i="3" s="1"/>
  <c r="V7" i="3"/>
  <c r="AF31" i="3"/>
  <c r="AF32" i="3" s="1"/>
  <c r="AF42" i="3"/>
  <c r="AG42" i="3"/>
  <c r="T45" i="3"/>
  <c r="T51" i="3" s="1"/>
  <c r="U12" i="3"/>
  <c r="U40" i="3"/>
  <c r="U43" i="3" s="1"/>
  <c r="V41" i="3" s="1"/>
  <c r="AE29" i="1"/>
  <c r="T37" i="3"/>
  <c r="T38" i="3" s="1"/>
  <c r="Q7" i="6"/>
  <c r="Q52" i="3"/>
  <c r="Q53" i="3" s="1"/>
  <c r="S38" i="3"/>
  <c r="P53" i="3"/>
  <c r="AG31" i="3"/>
  <c r="AG32" i="3" s="1"/>
  <c r="U29" i="3"/>
  <c r="U35" i="3" s="1"/>
  <c r="U27" i="3"/>
  <c r="V25" i="3" s="1"/>
  <c r="AG8" i="1"/>
  <c r="AH26" i="3"/>
  <c r="V18" i="6"/>
  <c r="V64" i="4"/>
  <c r="AQ46" i="1"/>
  <c r="AP72" i="4"/>
  <c r="AP46" i="4"/>
  <c r="BD54" i="1"/>
  <c r="BC77" i="4"/>
  <c r="BC56" i="4"/>
  <c r="BD55" i="1"/>
  <c r="BC78" i="4"/>
  <c r="BC57" i="4"/>
  <c r="X57" i="1"/>
  <c r="W61" i="4"/>
  <c r="AG55" i="1"/>
  <c r="AF78" i="4"/>
  <c r="AF57" i="4"/>
  <c r="AB49" i="4"/>
  <c r="AB70" i="4"/>
  <c r="AD47" i="1"/>
  <c r="AC73" i="4"/>
  <c r="AC47" i="4"/>
  <c r="AR45" i="1"/>
  <c r="AQ71" i="4"/>
  <c r="AQ45" i="4"/>
  <c r="AD45" i="1"/>
  <c r="AC71" i="4"/>
  <c r="AC45" i="4"/>
  <c r="AQ23" i="6"/>
  <c r="AE58" i="4"/>
  <c r="AG53" i="1"/>
  <c r="AF76" i="4"/>
  <c r="AF55" i="4"/>
  <c r="AD48" i="1"/>
  <c r="AC74" i="4"/>
  <c r="AC48" i="4"/>
  <c r="AS59" i="1"/>
  <c r="AR80" i="4"/>
  <c r="AR79" i="4" s="1"/>
  <c r="AR63" i="4"/>
  <c r="AE75" i="4"/>
  <c r="T40" i="4"/>
  <c r="T41" i="4" s="1"/>
  <c r="T20" i="6" s="1"/>
  <c r="T19" i="6" s="1"/>
  <c r="T69" i="4"/>
  <c r="T67" i="4" s="1"/>
  <c r="Q53" i="4"/>
  <c r="Q52" i="4"/>
  <c r="P17" i="6"/>
  <c r="P24" i="6" s="1"/>
  <c r="P59" i="4"/>
  <c r="R17" i="4"/>
  <c r="R11" i="6" s="1"/>
  <c r="R81" i="4"/>
  <c r="R82" i="4" s="1"/>
  <c r="O24" i="6"/>
  <c r="O26" i="6" s="1"/>
  <c r="O27" i="6" s="1"/>
  <c r="Q15" i="7"/>
  <c r="Q21" i="8" s="1"/>
  <c r="Q15" i="8" s="1"/>
  <c r="R6" i="6"/>
  <c r="N13" i="6"/>
  <c r="R42" i="4"/>
  <c r="R32" i="4"/>
  <c r="R16" i="6" s="1"/>
  <c r="Q18" i="4"/>
  <c r="Q10" i="4"/>
  <c r="Q10" i="6" s="1"/>
  <c r="Q12" i="6" s="1"/>
  <c r="P10" i="6"/>
  <c r="V6" i="4"/>
  <c r="V9" i="6" s="1"/>
  <c r="Q21" i="3"/>
  <c r="R20" i="3"/>
  <c r="R11" i="4"/>
  <c r="X36" i="1"/>
  <c r="W31" i="4"/>
  <c r="S18" i="3"/>
  <c r="S29" i="4"/>
  <c r="W16" i="3"/>
  <c r="W30" i="4"/>
  <c r="U37" i="4"/>
  <c r="U39" i="4"/>
  <c r="X6" i="1"/>
  <c r="X39" i="1"/>
  <c r="W35" i="4"/>
  <c r="AD22" i="4"/>
  <c r="V36" i="4"/>
  <c r="V68" i="4" s="1"/>
  <c r="X38" i="1"/>
  <c r="W34" i="4"/>
  <c r="T8" i="3"/>
  <c r="T10" i="3" s="1"/>
  <c r="S15" i="4"/>
  <c r="W24" i="4"/>
  <c r="W26" i="4" s="1"/>
  <c r="X31" i="1"/>
  <c r="X24" i="1"/>
  <c r="X14" i="4" s="1"/>
  <c r="X18" i="1"/>
  <c r="W8" i="4"/>
  <c r="X22" i="1"/>
  <c r="W12" i="4"/>
  <c r="X17" i="1"/>
  <c r="W7" i="4"/>
  <c r="X19" i="1"/>
  <c r="W9" i="4"/>
  <c r="X9" i="1"/>
  <c r="Y7" i="1"/>
  <c r="Y14" i="3" s="1"/>
  <c r="Y47" i="3" s="1"/>
  <c r="Y32" i="1" l="1"/>
  <c r="X25" i="4"/>
  <c r="X27" i="4" s="1"/>
  <c r="X24" i="3" s="1"/>
  <c r="AJ23" i="4"/>
  <c r="W7" i="3"/>
  <c r="U45" i="3"/>
  <c r="U51" i="3" s="1"/>
  <c r="V12" i="3"/>
  <c r="V40" i="3"/>
  <c r="V43" i="3" s="1"/>
  <c r="W41" i="3" s="1"/>
  <c r="AH9" i="3"/>
  <c r="AH42" i="3" s="1"/>
  <c r="Q13" i="6"/>
  <c r="Q14" i="6" s="1"/>
  <c r="V27" i="3"/>
  <c r="W25" i="3" s="1"/>
  <c r="U37" i="3"/>
  <c r="U38" i="3" s="1"/>
  <c r="R7" i="6"/>
  <c r="R52" i="3"/>
  <c r="V29" i="3"/>
  <c r="V35" i="3" s="1"/>
  <c r="AH8" i="1"/>
  <c r="AH31" i="3" s="1"/>
  <c r="AH32" i="3" s="1"/>
  <c r="AF58" i="4"/>
  <c r="AF22" i="6" s="1"/>
  <c r="AF75" i="4"/>
  <c r="AT59" i="1"/>
  <c r="AS80" i="4"/>
  <c r="AS79" i="4" s="1"/>
  <c r="AS63" i="4"/>
  <c r="AE22" i="6"/>
  <c r="W18" i="6"/>
  <c r="W64" i="4"/>
  <c r="AS45" i="1"/>
  <c r="AR71" i="4"/>
  <c r="AR45" i="4"/>
  <c r="Y57" i="1"/>
  <c r="X61" i="4"/>
  <c r="AR46" i="1"/>
  <c r="AQ72" i="4"/>
  <c r="AQ46" i="4"/>
  <c r="AF48" i="1"/>
  <c r="AD74" i="4"/>
  <c r="AD48" i="4"/>
  <c r="AB21" i="6"/>
  <c r="AC49" i="4"/>
  <c r="AC21" i="6" s="1"/>
  <c r="AF47" i="1"/>
  <c r="AD73" i="4"/>
  <c r="AD47" i="4"/>
  <c r="BE55" i="1"/>
  <c r="BD78" i="4"/>
  <c r="BD57" i="4"/>
  <c r="AC70" i="4"/>
  <c r="AR23" i="6"/>
  <c r="AH53" i="1"/>
  <c r="AG76" i="4"/>
  <c r="AG55" i="4"/>
  <c r="AD71" i="4"/>
  <c r="AD45" i="4"/>
  <c r="AH55" i="1"/>
  <c r="AG78" i="4"/>
  <c r="AG57" i="4"/>
  <c r="BE54" i="1"/>
  <c r="BD77" i="4"/>
  <c r="BD56" i="4"/>
  <c r="U40" i="4"/>
  <c r="U41" i="4" s="1"/>
  <c r="U20" i="6" s="1"/>
  <c r="U19" i="6" s="1"/>
  <c r="U69" i="4"/>
  <c r="U67" i="4" s="1"/>
  <c r="Q59" i="4"/>
  <c r="O32" i="6"/>
  <c r="O33" i="6" s="1"/>
  <c r="R52" i="4"/>
  <c r="R53" i="4"/>
  <c r="S17" i="4"/>
  <c r="S11" i="6" s="1"/>
  <c r="S81" i="4"/>
  <c r="S82" i="4" s="1"/>
  <c r="Q17" i="6"/>
  <c r="R15" i="7"/>
  <c r="R21" i="8" s="1"/>
  <c r="S6" i="6"/>
  <c r="P12" i="6"/>
  <c r="N26" i="6"/>
  <c r="N14" i="6"/>
  <c r="S42" i="4"/>
  <c r="S32" i="4"/>
  <c r="S16" i="6" s="1"/>
  <c r="R18" i="4"/>
  <c r="R10" i="4"/>
  <c r="W6" i="4"/>
  <c r="W9" i="6" s="1"/>
  <c r="Y15" i="3"/>
  <c r="Y48" i="3" s="1"/>
  <c r="Y49" i="3" s="1"/>
  <c r="R21" i="3"/>
  <c r="S20" i="3"/>
  <c r="S11" i="4"/>
  <c r="Y36" i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X31" i="4"/>
  <c r="T18" i="3"/>
  <c r="T29" i="4"/>
  <c r="X16" i="3"/>
  <c r="X30" i="4"/>
  <c r="V37" i="4"/>
  <c r="V39" i="4"/>
  <c r="AF29" i="1"/>
  <c r="AE22" i="4"/>
  <c r="Y39" i="1"/>
  <c r="X35" i="4"/>
  <c r="Y6" i="1"/>
  <c r="W36" i="4"/>
  <c r="W68" i="4" s="1"/>
  <c r="Y38" i="1"/>
  <c r="X34" i="4"/>
  <c r="X24" i="4"/>
  <c r="X26" i="4" s="1"/>
  <c r="Y31" i="1"/>
  <c r="Y33" i="3" s="1"/>
  <c r="U8" i="3"/>
  <c r="U10" i="3" s="1"/>
  <c r="T15" i="4"/>
  <c r="Y17" i="1"/>
  <c r="X7" i="4"/>
  <c r="Y22" i="1"/>
  <c r="X12" i="4"/>
  <c r="Y18" i="1"/>
  <c r="X8" i="4"/>
  <c r="Y19" i="1"/>
  <c r="X9" i="4"/>
  <c r="Y24" i="1"/>
  <c r="Y14" i="4" s="1"/>
  <c r="Y9" i="1"/>
  <c r="Z7" i="1"/>
  <c r="Z14" i="3" s="1"/>
  <c r="Y30" i="4"/>
  <c r="AK23" i="4" l="1"/>
  <c r="Z32" i="1"/>
  <c r="Y25" i="4"/>
  <c r="Y27" i="4" s="1"/>
  <c r="Y24" i="3" s="1"/>
  <c r="X7" i="3"/>
  <c r="V45" i="3"/>
  <c r="V51" i="3" s="1"/>
  <c r="W12" i="3"/>
  <c r="W40" i="3"/>
  <c r="W43" i="3" s="1"/>
  <c r="X41" i="3" s="1"/>
  <c r="Z15" i="3"/>
  <c r="Z48" i="3" s="1"/>
  <c r="Z47" i="3"/>
  <c r="W27" i="3"/>
  <c r="X25" i="3" s="1"/>
  <c r="AI9" i="3"/>
  <c r="S7" i="6"/>
  <c r="S52" i="3"/>
  <c r="S53" i="3" s="1"/>
  <c r="W29" i="3"/>
  <c r="W35" i="3" s="1"/>
  <c r="R53" i="3"/>
  <c r="AI26" i="3"/>
  <c r="V37" i="3"/>
  <c r="V38" i="3" s="1"/>
  <c r="AI8" i="1"/>
  <c r="AG58" i="4"/>
  <c r="AG22" i="6" s="1"/>
  <c r="AD49" i="4"/>
  <c r="AD21" i="6" s="1"/>
  <c r="AD70" i="4"/>
  <c r="AG75" i="4"/>
  <c r="AS23" i="6"/>
  <c r="AG47" i="1"/>
  <c r="AF73" i="4"/>
  <c r="AF47" i="4"/>
  <c r="AG48" i="1"/>
  <c r="AF74" i="4"/>
  <c r="AF48" i="4"/>
  <c r="BW45" i="4"/>
  <c r="AT45" i="1"/>
  <c r="AS71" i="4"/>
  <c r="AS45" i="4"/>
  <c r="BF54" i="1"/>
  <c r="BE77" i="4"/>
  <c r="BE56" i="4"/>
  <c r="AU59" i="1"/>
  <c r="AT80" i="4"/>
  <c r="AT79" i="4" s="1"/>
  <c r="AT63" i="4"/>
  <c r="AS46" i="1"/>
  <c r="AR72" i="4"/>
  <c r="AR46" i="4"/>
  <c r="AI53" i="1"/>
  <c r="AH76" i="4"/>
  <c r="AH55" i="4"/>
  <c r="X18" i="6"/>
  <c r="X64" i="4"/>
  <c r="BV64" i="4" s="1"/>
  <c r="BV61" i="4"/>
  <c r="AI55" i="1"/>
  <c r="AH78" i="4"/>
  <c r="AH57" i="4"/>
  <c r="BF55" i="1"/>
  <c r="BE78" i="4"/>
  <c r="BE57" i="4"/>
  <c r="Z57" i="1"/>
  <c r="Y61" i="4"/>
  <c r="V40" i="4"/>
  <c r="V41" i="4" s="1"/>
  <c r="V20" i="6" s="1"/>
  <c r="V19" i="6" s="1"/>
  <c r="V69" i="4"/>
  <c r="V67" i="4" s="1"/>
  <c r="O36" i="6"/>
  <c r="O6" i="8" s="1"/>
  <c r="O14" i="8" s="1"/>
  <c r="O25" i="8" s="1"/>
  <c r="O41" i="8" s="1"/>
  <c r="S52" i="4"/>
  <c r="S53" i="4"/>
  <c r="T17" i="4"/>
  <c r="T11" i="6" s="1"/>
  <c r="T81" i="4"/>
  <c r="T82" i="4" s="1"/>
  <c r="Q24" i="6"/>
  <c r="Q26" i="6" s="1"/>
  <c r="Q27" i="6" s="1"/>
  <c r="R17" i="6"/>
  <c r="R24" i="6" s="1"/>
  <c r="R59" i="4"/>
  <c r="T6" i="6"/>
  <c r="S15" i="7"/>
  <c r="S21" i="8" s="1"/>
  <c r="S15" i="8" s="1"/>
  <c r="R15" i="8"/>
  <c r="N27" i="6"/>
  <c r="N32" i="6"/>
  <c r="P13" i="6"/>
  <c r="T42" i="4"/>
  <c r="T32" i="4"/>
  <c r="T16" i="6" s="1"/>
  <c r="R10" i="6"/>
  <c r="S18" i="4"/>
  <c r="S10" i="4"/>
  <c r="S10" i="6" s="1"/>
  <c r="S12" i="6" s="1"/>
  <c r="X6" i="4"/>
  <c r="X9" i="6" s="1"/>
  <c r="S21" i="3"/>
  <c r="T11" i="4"/>
  <c r="T20" i="3"/>
  <c r="U18" i="3"/>
  <c r="U29" i="4"/>
  <c r="W37" i="4"/>
  <c r="W39" i="4"/>
  <c r="Z6" i="1"/>
  <c r="Z39" i="1"/>
  <c r="Y35" i="4"/>
  <c r="AG29" i="1"/>
  <c r="AH29" i="1" s="1"/>
  <c r="AF22" i="4"/>
  <c r="X36" i="4"/>
  <c r="X68" i="4" s="1"/>
  <c r="Z38" i="1"/>
  <c r="Y34" i="4"/>
  <c r="Z31" i="1"/>
  <c r="Z33" i="3" s="1"/>
  <c r="Y24" i="4"/>
  <c r="Y26" i="4" s="1"/>
  <c r="V8" i="3"/>
  <c r="V10" i="3" s="1"/>
  <c r="U15" i="4"/>
  <c r="Z19" i="1"/>
  <c r="Y9" i="4"/>
  <c r="Z17" i="1"/>
  <c r="Y7" i="4"/>
  <c r="Z18" i="1"/>
  <c r="Y8" i="4"/>
  <c r="Z22" i="1"/>
  <c r="Y12" i="4"/>
  <c r="Z24" i="1"/>
  <c r="Z14" i="4" s="1"/>
  <c r="Z9" i="1"/>
  <c r="AA7" i="1"/>
  <c r="AA14" i="3" s="1"/>
  <c r="AA47" i="3" s="1"/>
  <c r="Z30" i="4"/>
  <c r="AA32" i="1" l="1"/>
  <c r="Z25" i="4"/>
  <c r="Z27" i="4" s="1"/>
  <c r="Z24" i="3" s="1"/>
  <c r="AI31" i="3"/>
  <c r="AI32" i="3" s="1"/>
  <c r="AL23" i="4"/>
  <c r="Y7" i="3"/>
  <c r="AK26" i="3"/>
  <c r="Z49" i="3"/>
  <c r="AJ9" i="3"/>
  <c r="X40" i="3"/>
  <c r="X43" i="3" s="1"/>
  <c r="Y41" i="3" s="1"/>
  <c r="W45" i="3"/>
  <c r="W51" i="3" s="1"/>
  <c r="AI42" i="3"/>
  <c r="S13" i="6"/>
  <c r="S14" i="6" s="1"/>
  <c r="X12" i="3"/>
  <c r="W37" i="3"/>
  <c r="W38" i="3" s="1"/>
  <c r="X29" i="3"/>
  <c r="X35" i="3" s="1"/>
  <c r="X27" i="3"/>
  <c r="Y25" i="3" s="1"/>
  <c r="AJ26" i="3"/>
  <c r="T7" i="6"/>
  <c r="T52" i="3"/>
  <c r="AJ8" i="1"/>
  <c r="AH75" i="4"/>
  <c r="AF70" i="4"/>
  <c r="AH58" i="4"/>
  <c r="AH22" i="6" s="1"/>
  <c r="AF49" i="4"/>
  <c r="AF21" i="6" s="1"/>
  <c r="Y18" i="6"/>
  <c r="Y64" i="4"/>
  <c r="AT46" i="1"/>
  <c r="AS72" i="4"/>
  <c r="AS46" i="4"/>
  <c r="AH47" i="1"/>
  <c r="AG73" i="4"/>
  <c r="AG47" i="4"/>
  <c r="AJ55" i="1"/>
  <c r="AI78" i="4"/>
  <c r="AI57" i="4"/>
  <c r="BG54" i="1"/>
  <c r="BF77" i="4"/>
  <c r="BF56" i="4"/>
  <c r="AH48" i="1"/>
  <c r="AG74" i="4"/>
  <c r="AG48" i="4"/>
  <c r="AT23" i="6"/>
  <c r="AA57" i="1"/>
  <c r="Z61" i="4"/>
  <c r="AU45" i="1"/>
  <c r="AT71" i="4"/>
  <c r="AT45" i="4"/>
  <c r="BG55" i="1"/>
  <c r="BF78" i="4"/>
  <c r="BF57" i="4"/>
  <c r="AV59" i="1"/>
  <c r="AU80" i="4"/>
  <c r="AU79" i="4" s="1"/>
  <c r="AU63" i="4"/>
  <c r="AJ53" i="1"/>
  <c r="AI76" i="4"/>
  <c r="AI55" i="4"/>
  <c r="O37" i="6"/>
  <c r="W40" i="4"/>
  <c r="W41" i="4" s="1"/>
  <c r="W20" i="6" s="1"/>
  <c r="W19" i="6" s="1"/>
  <c r="W69" i="4"/>
  <c r="W67" i="4" s="1"/>
  <c r="U17" i="4"/>
  <c r="U11" i="6" s="1"/>
  <c r="U81" i="4"/>
  <c r="U82" i="4" s="1"/>
  <c r="Q32" i="6"/>
  <c r="Q33" i="6" s="1"/>
  <c r="T52" i="4"/>
  <c r="T53" i="4"/>
  <c r="S17" i="6"/>
  <c r="S59" i="4"/>
  <c r="U6" i="6"/>
  <c r="T15" i="7"/>
  <c r="T21" i="8" s="1"/>
  <c r="N33" i="6"/>
  <c r="N36" i="6"/>
  <c r="P26" i="6"/>
  <c r="P14" i="6"/>
  <c r="R12" i="6"/>
  <c r="U42" i="4"/>
  <c r="U32" i="4"/>
  <c r="U16" i="6" s="1"/>
  <c r="T18" i="4"/>
  <c r="T10" i="4"/>
  <c r="T10" i="6" s="1"/>
  <c r="T12" i="6" s="1"/>
  <c r="Y6" i="4"/>
  <c r="T21" i="3"/>
  <c r="AA15" i="3"/>
  <c r="AA48" i="3" s="1"/>
  <c r="AA49" i="3" s="1"/>
  <c r="U11" i="4"/>
  <c r="U20" i="3"/>
  <c r="Y16" i="3"/>
  <c r="Y31" i="4"/>
  <c r="V18" i="3"/>
  <c r="V29" i="4"/>
  <c r="X37" i="4"/>
  <c r="X39" i="4"/>
  <c r="AG22" i="4"/>
  <c r="AA39" i="1"/>
  <c r="Z35" i="4"/>
  <c r="AA6" i="1"/>
  <c r="Y36" i="4"/>
  <c r="Y68" i="4" s="1"/>
  <c r="AA38" i="1"/>
  <c r="Z34" i="4"/>
  <c r="W8" i="3"/>
  <c r="W10" i="3" s="1"/>
  <c r="V15" i="4"/>
  <c r="AA31" i="1"/>
  <c r="AA33" i="3" s="1"/>
  <c r="Z24" i="4"/>
  <c r="Z26" i="4" s="1"/>
  <c r="AA17" i="1"/>
  <c r="Z7" i="4"/>
  <c r="AA22" i="1"/>
  <c r="Z12" i="4"/>
  <c r="AA18" i="1"/>
  <c r="Z8" i="4"/>
  <c r="AA24" i="1"/>
  <c r="AA14" i="4" s="1"/>
  <c r="AA19" i="1"/>
  <c r="Z9" i="4"/>
  <c r="AA9" i="1"/>
  <c r="AB7" i="1"/>
  <c r="AB14" i="3" s="1"/>
  <c r="AA30" i="4"/>
  <c r="AM23" i="4" l="1"/>
  <c r="AB32" i="1"/>
  <c r="AA25" i="4"/>
  <c r="AA27" i="4" s="1"/>
  <c r="AA24" i="3" s="1"/>
  <c r="Z7" i="3"/>
  <c r="AL9" i="3" s="1"/>
  <c r="AL26" i="3"/>
  <c r="AJ31" i="3"/>
  <c r="AJ32" i="3" s="1"/>
  <c r="AI58" i="4"/>
  <c r="AI22" i="6" s="1"/>
  <c r="AB15" i="3"/>
  <c r="AB48" i="3" s="1"/>
  <c r="AB47" i="3"/>
  <c r="AJ42" i="3"/>
  <c r="Y12" i="3"/>
  <c r="Y40" i="3"/>
  <c r="Y43" i="3" s="1"/>
  <c r="Z41" i="3" s="1"/>
  <c r="X45" i="3"/>
  <c r="X51" i="3" s="1"/>
  <c r="T13" i="6"/>
  <c r="T14" i="6" s="1"/>
  <c r="X37" i="3"/>
  <c r="X38" i="3" s="1"/>
  <c r="U7" i="6"/>
  <c r="U52" i="3"/>
  <c r="U53" i="3" s="1"/>
  <c r="T53" i="3"/>
  <c r="Y27" i="3"/>
  <c r="Z25" i="3" s="1"/>
  <c r="Y29" i="3"/>
  <c r="Y35" i="3" s="1"/>
  <c r="AK8" i="1"/>
  <c r="AK31" i="3" s="1"/>
  <c r="AK32" i="3" s="1"/>
  <c r="AG70" i="4"/>
  <c r="AI75" i="4"/>
  <c r="AU46" i="1"/>
  <c r="AT72" i="4"/>
  <c r="AT46" i="4"/>
  <c r="AV45" i="1"/>
  <c r="AU71" i="4"/>
  <c r="AU45" i="4"/>
  <c r="AJ78" i="4"/>
  <c r="AJ57" i="4"/>
  <c r="BW57" i="4" s="1"/>
  <c r="AW59" i="1"/>
  <c r="AV80" i="4"/>
  <c r="AV79" i="4" s="1"/>
  <c r="AV63" i="4"/>
  <c r="BX63" i="4" s="1"/>
  <c r="AI48" i="1"/>
  <c r="AH74" i="4"/>
  <c r="AH48" i="4"/>
  <c r="AG49" i="4"/>
  <c r="AU23" i="6"/>
  <c r="AI47" i="1"/>
  <c r="AH73" i="4"/>
  <c r="AH47" i="4"/>
  <c r="Z18" i="6"/>
  <c r="Z64" i="4"/>
  <c r="BH54" i="1"/>
  <c r="BG77" i="4"/>
  <c r="BG56" i="4"/>
  <c r="AJ76" i="4"/>
  <c r="AK53" i="1"/>
  <c r="AJ55" i="4"/>
  <c r="AB57" i="1"/>
  <c r="AA61" i="4"/>
  <c r="BH55" i="1"/>
  <c r="BG78" i="4"/>
  <c r="BG57" i="4"/>
  <c r="X40" i="4"/>
  <c r="X41" i="4" s="1"/>
  <c r="X20" i="6" s="1"/>
  <c r="X19" i="6" s="1"/>
  <c r="X69" i="4"/>
  <c r="X67" i="4" s="1"/>
  <c r="Q36" i="6"/>
  <c r="Q6" i="8" s="1"/>
  <c r="S24" i="6"/>
  <c r="S26" i="6" s="1"/>
  <c r="S27" i="6" s="1"/>
  <c r="V17" i="4"/>
  <c r="V11" i="6" s="1"/>
  <c r="V81" i="4"/>
  <c r="V82" i="4" s="1"/>
  <c r="U53" i="4"/>
  <c r="U52" i="4"/>
  <c r="T17" i="6"/>
  <c r="T24" i="6" s="1"/>
  <c r="T59" i="4"/>
  <c r="V6" i="6"/>
  <c r="T15" i="8"/>
  <c r="U15" i="7"/>
  <c r="U21" i="8" s="1"/>
  <c r="U15" i="8" s="1"/>
  <c r="P27" i="6"/>
  <c r="P32" i="6"/>
  <c r="R13" i="6"/>
  <c r="N37" i="6"/>
  <c r="N6" i="8"/>
  <c r="N14" i="8" s="1"/>
  <c r="N25" i="8" s="1"/>
  <c r="N41" i="8" s="1"/>
  <c r="N43" i="8" s="1"/>
  <c r="N8" i="7"/>
  <c r="V42" i="4"/>
  <c r="V32" i="4"/>
  <c r="V16" i="6" s="1"/>
  <c r="AK9" i="3"/>
  <c r="AK42" i="3" s="1"/>
  <c r="Y9" i="6"/>
  <c r="U18" i="4"/>
  <c r="U10" i="4"/>
  <c r="U10" i="6" s="1"/>
  <c r="U12" i="6" s="1"/>
  <c r="Z6" i="4"/>
  <c r="Z9" i="6" s="1"/>
  <c r="U21" i="3"/>
  <c r="V11" i="4"/>
  <c r="V20" i="3"/>
  <c r="Z12" i="3"/>
  <c r="W18" i="3"/>
  <c r="W29" i="4"/>
  <c r="Z16" i="3"/>
  <c r="Z31" i="4"/>
  <c r="Y37" i="4"/>
  <c r="Y39" i="4"/>
  <c r="AB6" i="1"/>
  <c r="AB39" i="1"/>
  <c r="AA35" i="4"/>
  <c r="AI29" i="1"/>
  <c r="AH22" i="4"/>
  <c r="Z36" i="4"/>
  <c r="Z68" i="4" s="1"/>
  <c r="AB38" i="1"/>
  <c r="AA34" i="4"/>
  <c r="X8" i="3"/>
  <c r="X10" i="3" s="1"/>
  <c r="Y8" i="3" s="1"/>
  <c r="Y10" i="3" s="1"/>
  <c r="W15" i="4"/>
  <c r="AA24" i="4"/>
  <c r="AA26" i="4" s="1"/>
  <c r="AB31" i="1"/>
  <c r="AB33" i="3" s="1"/>
  <c r="AB24" i="1"/>
  <c r="AB14" i="4" s="1"/>
  <c r="AB22" i="1"/>
  <c r="AA12" i="4"/>
  <c r="AB19" i="1"/>
  <c r="AA9" i="4"/>
  <c r="AB18" i="1"/>
  <c r="AA8" i="4"/>
  <c r="AB17" i="1"/>
  <c r="AA7" i="4"/>
  <c r="AB9" i="1"/>
  <c r="AC7" i="1"/>
  <c r="AC14" i="3" s="1"/>
  <c r="AC47" i="3" s="1"/>
  <c r="AB30" i="4"/>
  <c r="AC32" i="1" l="1"/>
  <c r="AB25" i="4"/>
  <c r="AB27" i="4" s="1"/>
  <c r="AB24" i="3" s="1"/>
  <c r="AN23" i="4"/>
  <c r="AA7" i="3"/>
  <c r="AB49" i="3"/>
  <c r="Y45" i="3"/>
  <c r="Y51" i="3" s="1"/>
  <c r="T26" i="6"/>
  <c r="T27" i="6" s="1"/>
  <c r="AL42" i="3"/>
  <c r="Z40" i="3"/>
  <c r="Z43" i="3" s="1"/>
  <c r="AA41" i="3" s="1"/>
  <c r="U13" i="6"/>
  <c r="U14" i="6" s="1"/>
  <c r="Y37" i="3"/>
  <c r="V7" i="6"/>
  <c r="V52" i="3"/>
  <c r="Z27" i="3"/>
  <c r="AA25" i="3" s="1"/>
  <c r="Z29" i="3"/>
  <c r="Z35" i="3" s="1"/>
  <c r="AL8" i="1"/>
  <c r="AL31" i="3" s="1"/>
  <c r="AL32" i="3" s="1"/>
  <c r="AJ75" i="4"/>
  <c r="BI54" i="1"/>
  <c r="BH77" i="4"/>
  <c r="BH56" i="4"/>
  <c r="AW45" i="1"/>
  <c r="AV71" i="4"/>
  <c r="AV45" i="4"/>
  <c r="AA18" i="6"/>
  <c r="AA64" i="4"/>
  <c r="AX59" i="1"/>
  <c r="AW80" i="4"/>
  <c r="AW79" i="4" s="1"/>
  <c r="AW63" i="4"/>
  <c r="BW55" i="4"/>
  <c r="AJ58" i="4"/>
  <c r="AC57" i="1"/>
  <c r="AB61" i="4"/>
  <c r="AG21" i="6"/>
  <c r="AV46" i="1"/>
  <c r="AU72" i="4"/>
  <c r="AU46" i="4"/>
  <c r="AH49" i="4"/>
  <c r="AH21" i="6" s="1"/>
  <c r="AK76" i="4"/>
  <c r="AK75" i="4" s="1"/>
  <c r="AL53" i="1"/>
  <c r="AK55" i="4"/>
  <c r="BI55" i="1"/>
  <c r="BH78" i="4"/>
  <c r="BH57" i="4"/>
  <c r="AH70" i="4"/>
  <c r="AJ48" i="1"/>
  <c r="AI74" i="4"/>
  <c r="AI48" i="4"/>
  <c r="AJ47" i="1"/>
  <c r="AI73" i="4"/>
  <c r="AI47" i="4"/>
  <c r="AV23" i="6"/>
  <c r="Q37" i="6"/>
  <c r="Y40" i="4"/>
  <c r="Y41" i="4" s="1"/>
  <c r="Y20" i="6" s="1"/>
  <c r="Y69" i="4"/>
  <c r="Y67" i="4" s="1"/>
  <c r="S32" i="6"/>
  <c r="S33" i="6" s="1"/>
  <c r="W17" i="4"/>
  <c r="W11" i="6" s="1"/>
  <c r="W81" i="4"/>
  <c r="W82" i="4" s="1"/>
  <c r="U17" i="6"/>
  <c r="U24" i="6" s="1"/>
  <c r="U59" i="4"/>
  <c r="V53" i="4"/>
  <c r="V52" i="4"/>
  <c r="W6" i="6"/>
  <c r="V15" i="7"/>
  <c r="V21" i="8" s="1"/>
  <c r="V15" i="8" s="1"/>
  <c r="O8" i="7"/>
  <c r="N9" i="7"/>
  <c r="N20" i="7" s="1"/>
  <c r="O42" i="8"/>
  <c r="O43" i="8" s="1"/>
  <c r="N33" i="7"/>
  <c r="N35" i="7" s="1"/>
  <c r="N37" i="7" s="1"/>
  <c r="R26" i="6"/>
  <c r="R14" i="6"/>
  <c r="P33" i="6"/>
  <c r="P36" i="6"/>
  <c r="Q14" i="8"/>
  <c r="Q25" i="8" s="1"/>
  <c r="Q41" i="8" s="1"/>
  <c r="W42" i="4"/>
  <c r="W32" i="4"/>
  <c r="W16" i="6" s="1"/>
  <c r="V18" i="4"/>
  <c r="V10" i="4"/>
  <c r="V10" i="6" s="1"/>
  <c r="V12" i="6" s="1"/>
  <c r="AA6" i="4"/>
  <c r="AC15" i="3"/>
  <c r="AC48" i="3" s="1"/>
  <c r="AC49" i="3" s="1"/>
  <c r="V21" i="3"/>
  <c r="W11" i="4"/>
  <c r="W20" i="3"/>
  <c r="X18" i="3"/>
  <c r="X29" i="4"/>
  <c r="AA16" i="3"/>
  <c r="AA31" i="4"/>
  <c r="Z37" i="4"/>
  <c r="Z39" i="4"/>
  <c r="AJ29" i="1"/>
  <c r="AK29" i="1" s="1"/>
  <c r="AI22" i="4"/>
  <c r="AC39" i="1"/>
  <c r="AB35" i="4"/>
  <c r="AC6" i="1"/>
  <c r="AA36" i="4"/>
  <c r="AA68" i="4" s="1"/>
  <c r="AC38" i="1"/>
  <c r="AB34" i="4"/>
  <c r="X15" i="4"/>
  <c r="AB24" i="4"/>
  <c r="AB26" i="4" s="1"/>
  <c r="AC31" i="1"/>
  <c r="AC33" i="3" s="1"/>
  <c r="AC22" i="1"/>
  <c r="AB12" i="4"/>
  <c r="AC17" i="1"/>
  <c r="AB7" i="4"/>
  <c r="AC18" i="1"/>
  <c r="AB8" i="4"/>
  <c r="AC19" i="1"/>
  <c r="AB9" i="4"/>
  <c r="AC24" i="1"/>
  <c r="AC14" i="4" s="1"/>
  <c r="AC9" i="1"/>
  <c r="AD7" i="1"/>
  <c r="AD14" i="3" s="1"/>
  <c r="AC30" i="4"/>
  <c r="AO23" i="4" l="1"/>
  <c r="AD32" i="1"/>
  <c r="AC25" i="4"/>
  <c r="AC27" i="4" s="1"/>
  <c r="AC24" i="3" s="1"/>
  <c r="T32" i="6"/>
  <c r="T33" i="6" s="1"/>
  <c r="AB7" i="3"/>
  <c r="U26" i="6"/>
  <c r="U27" i="6" s="1"/>
  <c r="AA40" i="3"/>
  <c r="AA43" i="3" s="1"/>
  <c r="AB41" i="3" s="1"/>
  <c r="Z45" i="3"/>
  <c r="Z51" i="3" s="1"/>
  <c r="AD15" i="3"/>
  <c r="AD48" i="3" s="1"/>
  <c r="AD47" i="3"/>
  <c r="W7" i="6"/>
  <c r="W52" i="3"/>
  <c r="W53" i="3" s="1"/>
  <c r="Z37" i="3"/>
  <c r="Z38" i="3" s="1"/>
  <c r="AA29" i="3"/>
  <c r="AA35" i="3" s="1"/>
  <c r="V53" i="3"/>
  <c r="AA27" i="3"/>
  <c r="AB25" i="3" s="1"/>
  <c r="Y38" i="3"/>
  <c r="AM26" i="3"/>
  <c r="AM8" i="1"/>
  <c r="AN26" i="3"/>
  <c r="AI70" i="4"/>
  <c r="AD57" i="1"/>
  <c r="AC61" i="4"/>
  <c r="AI49" i="4"/>
  <c r="AJ22" i="6"/>
  <c r="BW58" i="4"/>
  <c r="AW46" i="1"/>
  <c r="AV72" i="4"/>
  <c r="AV46" i="4"/>
  <c r="AL47" i="1"/>
  <c r="AJ73" i="4"/>
  <c r="AJ47" i="4"/>
  <c r="BJ55" i="1"/>
  <c r="BI78" i="4"/>
  <c r="BI57" i="4"/>
  <c r="AW23" i="6"/>
  <c r="AK58" i="4"/>
  <c r="AX45" i="1"/>
  <c r="AW71" i="4"/>
  <c r="AW45" i="4"/>
  <c r="AM53" i="1"/>
  <c r="AL76" i="4"/>
  <c r="AL75" i="4" s="1"/>
  <c r="AL55" i="4"/>
  <c r="AL58" i="4" s="1"/>
  <c r="AL22" i="6" s="1"/>
  <c r="AY59" i="1"/>
  <c r="AX80" i="4"/>
  <c r="AX79" i="4" s="1"/>
  <c r="AX63" i="4"/>
  <c r="AL48" i="1"/>
  <c r="AJ74" i="4"/>
  <c r="AJ48" i="4"/>
  <c r="BW48" i="4" s="1"/>
  <c r="AB18" i="6"/>
  <c r="AB64" i="4"/>
  <c r="BJ54" i="1"/>
  <c r="BI77" i="4"/>
  <c r="BI56" i="4"/>
  <c r="S36" i="6"/>
  <c r="S6" i="8" s="1"/>
  <c r="S14" i="8" s="1"/>
  <c r="S25" i="8" s="1"/>
  <c r="S41" i="8" s="1"/>
  <c r="Z40" i="4"/>
  <c r="Z41" i="4" s="1"/>
  <c r="Z20" i="6" s="1"/>
  <c r="Z19" i="6" s="1"/>
  <c r="Z69" i="4"/>
  <c r="Z67" i="4" s="1"/>
  <c r="W53" i="4"/>
  <c r="W52" i="4"/>
  <c r="X17" i="4"/>
  <c r="X11" i="6" s="1"/>
  <c r="X81" i="4"/>
  <c r="X82" i="4" s="1"/>
  <c r="V17" i="6"/>
  <c r="V24" i="6" s="1"/>
  <c r="V59" i="4"/>
  <c r="W15" i="7"/>
  <c r="W21" i="8" s="1"/>
  <c r="W15" i="8" s="1"/>
  <c r="X6" i="6"/>
  <c r="P6" i="8"/>
  <c r="P37" i="6"/>
  <c r="R27" i="6"/>
  <c r="R32" i="6"/>
  <c r="P42" i="8"/>
  <c r="O33" i="7"/>
  <c r="O35" i="7" s="1"/>
  <c r="O37" i="7" s="1"/>
  <c r="N38" i="7"/>
  <c r="Y19" i="6"/>
  <c r="V13" i="6"/>
  <c r="V14" i="6" s="1"/>
  <c r="P8" i="7"/>
  <c r="O9" i="7"/>
  <c r="O20" i="7" s="1"/>
  <c r="X42" i="4"/>
  <c r="X32" i="4"/>
  <c r="X16" i="6" s="1"/>
  <c r="W18" i="4"/>
  <c r="W10" i="4"/>
  <c r="W10" i="6" s="1"/>
  <c r="W12" i="6" s="1"/>
  <c r="AA12" i="3"/>
  <c r="AA9" i="6"/>
  <c r="AM9" i="3"/>
  <c r="AB6" i="4"/>
  <c r="AB9" i="6" s="1"/>
  <c r="W21" i="3"/>
  <c r="X20" i="3"/>
  <c r="X11" i="4"/>
  <c r="AB16" i="3"/>
  <c r="AB31" i="4"/>
  <c r="Y18" i="3"/>
  <c r="Y29" i="4"/>
  <c r="Y32" i="4" s="1"/>
  <c r="Y16" i="6" s="1"/>
  <c r="AA37" i="4"/>
  <c r="AA39" i="4"/>
  <c r="AD39" i="1"/>
  <c r="AC35" i="4"/>
  <c r="AD6" i="1"/>
  <c r="AJ22" i="4"/>
  <c r="AB36" i="4"/>
  <c r="AB68" i="4" s="1"/>
  <c r="AD38" i="1"/>
  <c r="AC34" i="4"/>
  <c r="AC24" i="4"/>
  <c r="AC26" i="4" s="1"/>
  <c r="AD31" i="1"/>
  <c r="AD33" i="3" s="1"/>
  <c r="Z8" i="3"/>
  <c r="Z10" i="3" s="1"/>
  <c r="Y15" i="4"/>
  <c r="AD19" i="1"/>
  <c r="AC9" i="4"/>
  <c r="AD18" i="1"/>
  <c r="AC8" i="4"/>
  <c r="AD24" i="1"/>
  <c r="AD14" i="4" s="1"/>
  <c r="AD22" i="1"/>
  <c r="AC12" i="4"/>
  <c r="AD17" i="1"/>
  <c r="AC7" i="4"/>
  <c r="AD9" i="1"/>
  <c r="AE7" i="1"/>
  <c r="AE14" i="3" s="1"/>
  <c r="AD30" i="4"/>
  <c r="AA45" i="3" l="1"/>
  <c r="AA51" i="3" s="1"/>
  <c r="T36" i="6"/>
  <c r="U32" i="6"/>
  <c r="U33" i="6" s="1"/>
  <c r="AM31" i="3"/>
  <c r="AM32" i="3" s="1"/>
  <c r="AE32" i="1"/>
  <c r="AD25" i="4"/>
  <c r="AD27" i="4" s="1"/>
  <c r="AD24" i="3" s="1"/>
  <c r="AP23" i="4"/>
  <c r="AC7" i="3"/>
  <c r="AM42" i="3"/>
  <c r="AD49" i="3"/>
  <c r="W13" i="6"/>
  <c r="W14" i="6" s="1"/>
  <c r="AN9" i="3"/>
  <c r="AN42" i="3" s="1"/>
  <c r="AB40" i="3"/>
  <c r="AB43" i="3" s="1"/>
  <c r="AC41" i="3" s="1"/>
  <c r="AE15" i="3"/>
  <c r="AE48" i="3" s="1"/>
  <c r="AE47" i="3"/>
  <c r="AB12" i="3"/>
  <c r="AB27" i="3"/>
  <c r="AC25" i="3" s="1"/>
  <c r="AA37" i="3"/>
  <c r="X7" i="6"/>
  <c r="X52" i="3"/>
  <c r="X53" i="3" s="1"/>
  <c r="AB29" i="3"/>
  <c r="AB35" i="3" s="1"/>
  <c r="AN8" i="1"/>
  <c r="AN31" i="3" s="1"/>
  <c r="AN32" i="3" s="1"/>
  <c r="AZ59" i="1"/>
  <c r="AY80" i="4"/>
  <c r="AY79" i="4" s="1"/>
  <c r="AY63" i="4"/>
  <c r="AY45" i="1"/>
  <c r="AX71" i="4"/>
  <c r="AX45" i="4"/>
  <c r="AX46" i="1"/>
  <c r="AW72" i="4"/>
  <c r="AW46" i="4"/>
  <c r="BK55" i="1"/>
  <c r="BJ78" i="4"/>
  <c r="BJ57" i="4"/>
  <c r="AM48" i="1"/>
  <c r="AL74" i="4"/>
  <c r="AL48" i="4"/>
  <c r="AK22" i="6"/>
  <c r="BW47" i="4"/>
  <c r="AJ49" i="4"/>
  <c r="AJ21" i="6" s="1"/>
  <c r="AJ70" i="4"/>
  <c r="AI21" i="6"/>
  <c r="AN53" i="1"/>
  <c r="AM76" i="4"/>
  <c r="AM75" i="4" s="1"/>
  <c r="AM55" i="4"/>
  <c r="AM47" i="1"/>
  <c r="AL73" i="4"/>
  <c r="AL47" i="4"/>
  <c r="AC18" i="6"/>
  <c r="AC64" i="4"/>
  <c r="BK54" i="1"/>
  <c r="BJ77" i="4"/>
  <c r="BJ56" i="4"/>
  <c r="AX23" i="6"/>
  <c r="AE57" i="1"/>
  <c r="AD61" i="4"/>
  <c r="S37" i="6"/>
  <c r="AA40" i="4"/>
  <c r="AA41" i="4" s="1"/>
  <c r="AA20" i="6" s="1"/>
  <c r="AA69" i="4"/>
  <c r="AA67" i="4" s="1"/>
  <c r="X53" i="4"/>
  <c r="X52" i="4"/>
  <c r="W17" i="6"/>
  <c r="W24" i="6" s="1"/>
  <c r="W59" i="4"/>
  <c r="V26" i="6"/>
  <c r="V27" i="6" s="1"/>
  <c r="Y17" i="4"/>
  <c r="Y11" i="6" s="1"/>
  <c r="Y81" i="4"/>
  <c r="Y82" i="4" s="1"/>
  <c r="Y6" i="6"/>
  <c r="X15" i="7"/>
  <c r="X21" i="8" s="1"/>
  <c r="X15" i="8" s="1"/>
  <c r="O38" i="7"/>
  <c r="T6" i="8"/>
  <c r="T14" i="8" s="1"/>
  <c r="T25" i="8" s="1"/>
  <c r="T41" i="8" s="1"/>
  <c r="T37" i="6"/>
  <c r="Q8" i="7"/>
  <c r="P9" i="7"/>
  <c r="P20" i="7" s="1"/>
  <c r="R33" i="6"/>
  <c r="R36" i="6"/>
  <c r="P14" i="8"/>
  <c r="P25" i="8" s="1"/>
  <c r="P41" i="8" s="1"/>
  <c r="P43" i="8" s="1"/>
  <c r="Y42" i="4"/>
  <c r="AC6" i="4"/>
  <c r="X18" i="4"/>
  <c r="X10" i="4"/>
  <c r="X10" i="6" s="1"/>
  <c r="X12" i="6" s="1"/>
  <c r="X21" i="3"/>
  <c r="Y20" i="3"/>
  <c r="Z18" i="3"/>
  <c r="Z29" i="4"/>
  <c r="AC16" i="3"/>
  <c r="AC31" i="4"/>
  <c r="Y11" i="4"/>
  <c r="AB37" i="4"/>
  <c r="AB39" i="4"/>
  <c r="AL29" i="1"/>
  <c r="AK22" i="4"/>
  <c r="AE6" i="1"/>
  <c r="AE39" i="1"/>
  <c r="AD35" i="4"/>
  <c r="AC36" i="4"/>
  <c r="AC68" i="4" s="1"/>
  <c r="AE38" i="1"/>
  <c r="AD34" i="4"/>
  <c r="AA8" i="3"/>
  <c r="AA10" i="3" s="1"/>
  <c r="Z15" i="4"/>
  <c r="AD24" i="4"/>
  <c r="AD26" i="4" s="1"/>
  <c r="AE31" i="1"/>
  <c r="AE33" i="3" s="1"/>
  <c r="AE22" i="1"/>
  <c r="AD12" i="4"/>
  <c r="AE24" i="1"/>
  <c r="AE14" i="4" s="1"/>
  <c r="AE18" i="1"/>
  <c r="AD8" i="4"/>
  <c r="AE17" i="1"/>
  <c r="AD7" i="4"/>
  <c r="AE19" i="1"/>
  <c r="AD9" i="4"/>
  <c r="AE9" i="1"/>
  <c r="AF7" i="1"/>
  <c r="AF14" i="3" s="1"/>
  <c r="AF47" i="3" s="1"/>
  <c r="AE30" i="4"/>
  <c r="U36" i="6" l="1"/>
  <c r="AQ23" i="4"/>
  <c r="AF32" i="1"/>
  <c r="AE25" i="4"/>
  <c r="AE27" i="4" s="1"/>
  <c r="AE24" i="3" s="1"/>
  <c r="AD7" i="3"/>
  <c r="AE49" i="3"/>
  <c r="AB45" i="3"/>
  <c r="AB51" i="3" s="1"/>
  <c r="AC40" i="3"/>
  <c r="AC43" i="3" s="1"/>
  <c r="AD41" i="3" s="1"/>
  <c r="W26" i="6"/>
  <c r="W27" i="6" s="1"/>
  <c r="AC27" i="3"/>
  <c r="AD25" i="3" s="1"/>
  <c r="X13" i="6"/>
  <c r="X14" i="6" s="1"/>
  <c r="AC29" i="3"/>
  <c r="AC35" i="3" s="1"/>
  <c r="AO26" i="3"/>
  <c r="AB37" i="3"/>
  <c r="AB38" i="3" s="1"/>
  <c r="AA38" i="3"/>
  <c r="Y7" i="6"/>
  <c r="Y52" i="3"/>
  <c r="AO8" i="1"/>
  <c r="AL70" i="4"/>
  <c r="BW49" i="4"/>
  <c r="AO53" i="1"/>
  <c r="AN76" i="4"/>
  <c r="AN75" i="4" s="1"/>
  <c r="AN55" i="4"/>
  <c r="AN58" i="4" s="1"/>
  <c r="AN22" i="6" s="1"/>
  <c r="AZ45" i="1"/>
  <c r="AY71" i="4"/>
  <c r="AY45" i="4"/>
  <c r="BL55" i="1"/>
  <c r="BK78" i="4"/>
  <c r="BK57" i="4"/>
  <c r="AY23" i="6"/>
  <c r="AL49" i="4"/>
  <c r="BA59" i="1"/>
  <c r="AZ80" i="4"/>
  <c r="AZ79" i="4" s="1"/>
  <c r="AZ63" i="4"/>
  <c r="AN47" i="1"/>
  <c r="AM73" i="4"/>
  <c r="AM47" i="4"/>
  <c r="AY46" i="1"/>
  <c r="AX72" i="4"/>
  <c r="AX46" i="4"/>
  <c r="AD18" i="6"/>
  <c r="AD64" i="4"/>
  <c r="AM58" i="4"/>
  <c r="AF57" i="1"/>
  <c r="AE61" i="4"/>
  <c r="BL54" i="1"/>
  <c r="BK77" i="4"/>
  <c r="BK56" i="4"/>
  <c r="AN48" i="1"/>
  <c r="AM74" i="4"/>
  <c r="AM48" i="4"/>
  <c r="AB40" i="4"/>
  <c r="AB41" i="4" s="1"/>
  <c r="AB20" i="6" s="1"/>
  <c r="AB19" i="6" s="1"/>
  <c r="AB69" i="4"/>
  <c r="AB67" i="4" s="1"/>
  <c r="X17" i="6"/>
  <c r="X24" i="6" s="1"/>
  <c r="X59" i="4"/>
  <c r="V32" i="6"/>
  <c r="V33" i="6" s="1"/>
  <c r="Z17" i="4"/>
  <c r="Z11" i="6" s="1"/>
  <c r="Z81" i="4"/>
  <c r="Z82" i="4" s="1"/>
  <c r="Y52" i="4"/>
  <c r="Y53" i="4"/>
  <c r="Y15" i="7"/>
  <c r="Y21" i="8" s="1"/>
  <c r="Z6" i="6"/>
  <c r="Q42" i="8"/>
  <c r="Q43" i="8" s="1"/>
  <c r="P33" i="7"/>
  <c r="P35" i="7" s="1"/>
  <c r="P37" i="7" s="1"/>
  <c r="P38" i="7" s="1"/>
  <c r="AA19" i="6"/>
  <c r="R8" i="7"/>
  <c r="Q9" i="7"/>
  <c r="Q20" i="7" s="1"/>
  <c r="R6" i="8"/>
  <c r="R37" i="6"/>
  <c r="U6" i="8"/>
  <c r="U14" i="8" s="1"/>
  <c r="U25" i="8" s="1"/>
  <c r="U41" i="8" s="1"/>
  <c r="U37" i="6"/>
  <c r="AC12" i="3"/>
  <c r="Z42" i="4"/>
  <c r="Z32" i="4"/>
  <c r="Z16" i="6" s="1"/>
  <c r="AO9" i="3"/>
  <c r="AC9" i="6"/>
  <c r="Y18" i="4"/>
  <c r="Y10" i="4"/>
  <c r="AD6" i="4"/>
  <c r="AD9" i="6" s="1"/>
  <c r="AF15" i="3"/>
  <c r="AF48" i="3" s="1"/>
  <c r="AF49" i="3" s="1"/>
  <c r="Y21" i="3"/>
  <c r="Z20" i="3"/>
  <c r="Z11" i="4"/>
  <c r="AD16" i="3"/>
  <c r="AD31" i="4"/>
  <c r="AA18" i="3"/>
  <c r="AA29" i="4"/>
  <c r="AC37" i="4"/>
  <c r="AC39" i="4"/>
  <c r="AF39" i="1"/>
  <c r="AE35" i="4"/>
  <c r="AF6" i="1"/>
  <c r="AM29" i="1"/>
  <c r="AN29" i="1" s="1"/>
  <c r="AO29" i="1" s="1"/>
  <c r="AP29" i="1" s="1"/>
  <c r="AQ29" i="1" s="1"/>
  <c r="AR29" i="1" s="1"/>
  <c r="AS29" i="1" s="1"/>
  <c r="AT29" i="1" s="1"/>
  <c r="AU29" i="1" s="1"/>
  <c r="AV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AL22" i="4"/>
  <c r="AD36" i="4"/>
  <c r="AD68" i="4" s="1"/>
  <c r="AF38" i="1"/>
  <c r="AE34" i="4"/>
  <c r="AB8" i="3"/>
  <c r="AB10" i="3" s="1"/>
  <c r="AA15" i="4"/>
  <c r="AF31" i="1"/>
  <c r="AF33" i="3" s="1"/>
  <c r="AE24" i="4"/>
  <c r="AE26" i="4" s="1"/>
  <c r="AF17" i="1"/>
  <c r="AE7" i="4"/>
  <c r="AF24" i="1"/>
  <c r="AF14" i="4" s="1"/>
  <c r="AF18" i="1"/>
  <c r="AE8" i="4"/>
  <c r="AF19" i="1"/>
  <c r="AE9" i="4"/>
  <c r="AF22" i="1"/>
  <c r="AE12" i="4"/>
  <c r="AF9" i="1"/>
  <c r="AG7" i="1"/>
  <c r="AG14" i="3" s="1"/>
  <c r="AF30" i="4"/>
  <c r="BM29" i="1" l="1"/>
  <c r="BN29" i="1" s="1"/>
  <c r="AG32" i="1"/>
  <c r="AF25" i="4"/>
  <c r="AF27" i="4" s="1"/>
  <c r="AF24" i="3" s="1"/>
  <c r="AR23" i="4"/>
  <c r="AQ26" i="3"/>
  <c r="AE7" i="3"/>
  <c r="AE12" i="3" s="1"/>
  <c r="W32" i="6"/>
  <c r="W33" i="6" s="1"/>
  <c r="AO31" i="3"/>
  <c r="AO32" i="3" s="1"/>
  <c r="X26" i="6"/>
  <c r="X27" i="6" s="1"/>
  <c r="AC45" i="3"/>
  <c r="AC51" i="3" s="1"/>
  <c r="AP9" i="3"/>
  <c r="AD40" i="3"/>
  <c r="AD43" i="3" s="1"/>
  <c r="AE41" i="3" s="1"/>
  <c r="AO42" i="3"/>
  <c r="AG15" i="3"/>
  <c r="AG48" i="3" s="1"/>
  <c r="AG47" i="3"/>
  <c r="AD12" i="3"/>
  <c r="AC37" i="3"/>
  <c r="AD29" i="3"/>
  <c r="AD35" i="3" s="1"/>
  <c r="AD27" i="3"/>
  <c r="AE25" i="3" s="1"/>
  <c r="AP26" i="3"/>
  <c r="Y53" i="3"/>
  <c r="Z7" i="6"/>
  <c r="Z52" i="3"/>
  <c r="Z53" i="3" s="1"/>
  <c r="AP8" i="1"/>
  <c r="AM49" i="4"/>
  <c r="AM21" i="6" s="1"/>
  <c r="BA45" i="1"/>
  <c r="AZ71" i="4"/>
  <c r="AZ45" i="4"/>
  <c r="BM54" i="1"/>
  <c r="BL77" i="4"/>
  <c r="BL56" i="4"/>
  <c r="AZ23" i="6"/>
  <c r="AE18" i="6"/>
  <c r="AE64" i="4"/>
  <c r="AG57" i="1"/>
  <c r="AF61" i="4"/>
  <c r="BB59" i="1"/>
  <c r="BA80" i="4"/>
  <c r="BA79" i="4" s="1"/>
  <c r="BA63" i="4"/>
  <c r="AZ46" i="1"/>
  <c r="AY72" i="4"/>
  <c r="AY46" i="4"/>
  <c r="AP53" i="1"/>
  <c r="AO76" i="4"/>
  <c r="AO75" i="4" s="1"/>
  <c r="AO55" i="4"/>
  <c r="BM55" i="1"/>
  <c r="BL78" i="4"/>
  <c r="BL57" i="4"/>
  <c r="AO47" i="1"/>
  <c r="AN73" i="4"/>
  <c r="AN47" i="4"/>
  <c r="AO48" i="1"/>
  <c r="AN74" i="4"/>
  <c r="AN48" i="4"/>
  <c r="AM22" i="6"/>
  <c r="AM70" i="4"/>
  <c r="AL21" i="6"/>
  <c r="AC40" i="4"/>
  <c r="AC41" i="4" s="1"/>
  <c r="AC20" i="6" s="1"/>
  <c r="AC19" i="6" s="1"/>
  <c r="AC69" i="4"/>
  <c r="AC67" i="4" s="1"/>
  <c r="V36" i="6"/>
  <c r="V37" i="6" s="1"/>
  <c r="Y17" i="6"/>
  <c r="AA17" i="4"/>
  <c r="AA11" i="6" s="1"/>
  <c r="AA81" i="4"/>
  <c r="AA82" i="4" s="1"/>
  <c r="Y59" i="4"/>
  <c r="Z52" i="4"/>
  <c r="Z53" i="4"/>
  <c r="Z15" i="7"/>
  <c r="Z21" i="8" s="1"/>
  <c r="Z15" i="8" s="1"/>
  <c r="AA6" i="6"/>
  <c r="Y15" i="8"/>
  <c r="R14" i="8"/>
  <c r="R25" i="8" s="1"/>
  <c r="R41" i="8" s="1"/>
  <c r="S8" i="7"/>
  <c r="R9" i="7"/>
  <c r="R20" i="7" s="1"/>
  <c r="R42" i="8"/>
  <c r="Q33" i="7"/>
  <c r="Q35" i="7" s="1"/>
  <c r="Q37" i="7" s="1"/>
  <c r="Q38" i="7" s="1"/>
  <c r="AA42" i="4"/>
  <c r="AA32" i="4"/>
  <c r="AA16" i="6" s="1"/>
  <c r="Z18" i="4"/>
  <c r="Z10" i="4"/>
  <c r="Z10" i="6" s="1"/>
  <c r="Z12" i="6" s="1"/>
  <c r="Y10" i="6"/>
  <c r="AE6" i="4"/>
  <c r="Z21" i="3"/>
  <c r="AA20" i="3"/>
  <c r="AA11" i="4"/>
  <c r="AE16" i="3"/>
  <c r="AE31" i="4"/>
  <c r="AB18" i="3"/>
  <c r="AB29" i="4"/>
  <c r="AD37" i="4"/>
  <c r="AD39" i="4"/>
  <c r="AM22" i="4"/>
  <c r="AG6" i="1"/>
  <c r="AG39" i="1"/>
  <c r="AF35" i="4"/>
  <c r="AE36" i="4"/>
  <c r="AE68" i="4" s="1"/>
  <c r="AG38" i="1"/>
  <c r="AF34" i="4"/>
  <c r="AF24" i="4"/>
  <c r="AF26" i="4" s="1"/>
  <c r="AG31" i="1"/>
  <c r="AG33" i="3" s="1"/>
  <c r="AC8" i="3"/>
  <c r="AC10" i="3" s="1"/>
  <c r="AB15" i="4"/>
  <c r="AG19" i="1"/>
  <c r="AF9" i="4"/>
  <c r="AG18" i="1"/>
  <c r="AF8" i="4"/>
  <c r="AG24" i="1"/>
  <c r="AG14" i="4" s="1"/>
  <c r="AG22" i="1"/>
  <c r="AF12" i="4"/>
  <c r="AG17" i="1"/>
  <c r="AF7" i="4"/>
  <c r="AG9" i="1"/>
  <c r="AH7" i="1"/>
  <c r="AH14" i="3" s="1"/>
  <c r="AG30" i="4"/>
  <c r="W36" i="6" l="1"/>
  <c r="AS23" i="4"/>
  <c r="AQ9" i="3"/>
  <c r="AH32" i="1"/>
  <c r="AG25" i="4"/>
  <c r="AG27" i="4" s="1"/>
  <c r="AG24" i="3" s="1"/>
  <c r="AR26" i="3"/>
  <c r="AF7" i="3"/>
  <c r="X32" i="6"/>
  <c r="X33" i="6" s="1"/>
  <c r="AP31" i="3"/>
  <c r="AP32" i="3" s="1"/>
  <c r="AE27" i="3"/>
  <c r="AF25" i="3" s="1"/>
  <c r="AQ42" i="3"/>
  <c r="AG49" i="3"/>
  <c r="AP42" i="3"/>
  <c r="AE40" i="3"/>
  <c r="AE43" i="3" s="1"/>
  <c r="AF41" i="3" s="1"/>
  <c r="AH15" i="3"/>
  <c r="AH48" i="3" s="1"/>
  <c r="AH47" i="3"/>
  <c r="AD45" i="3"/>
  <c r="AD51" i="3" s="1"/>
  <c r="Z13" i="6"/>
  <c r="Z14" i="6" s="1"/>
  <c r="AA7" i="6"/>
  <c r="AA52" i="3"/>
  <c r="AA53" i="3" s="1"/>
  <c r="AE29" i="3"/>
  <c r="AE35" i="3" s="1"/>
  <c r="AC38" i="3"/>
  <c r="AD37" i="3"/>
  <c r="AQ8" i="1"/>
  <c r="AQ31" i="3" s="1"/>
  <c r="AQ32" i="3" s="1"/>
  <c r="AN70" i="4"/>
  <c r="AO58" i="4"/>
  <c r="BC59" i="1"/>
  <c r="BB80" i="4"/>
  <c r="BB79" i="4" s="1"/>
  <c r="BB63" i="4"/>
  <c r="AF18" i="6"/>
  <c r="AF64" i="4"/>
  <c r="AP48" i="1"/>
  <c r="AO74" i="4"/>
  <c r="AO48" i="4"/>
  <c r="AQ53" i="1"/>
  <c r="AP76" i="4"/>
  <c r="AP75" i="4" s="1"/>
  <c r="AP55" i="4"/>
  <c r="AP58" i="4" s="1"/>
  <c r="AP22" i="6" s="1"/>
  <c r="AH57" i="1"/>
  <c r="AG61" i="4"/>
  <c r="BN54" i="1"/>
  <c r="BM77" i="4"/>
  <c r="BM56" i="4"/>
  <c r="AN49" i="4"/>
  <c r="BB45" i="1"/>
  <c r="BA71" i="4"/>
  <c r="BA45" i="4"/>
  <c r="AP47" i="1"/>
  <c r="AO73" i="4"/>
  <c r="AO47" i="4"/>
  <c r="BN55" i="1"/>
  <c r="BM78" i="4"/>
  <c r="BM57" i="4"/>
  <c r="BA46" i="1"/>
  <c r="AZ72" i="4"/>
  <c r="AZ46" i="4"/>
  <c r="BA23" i="6"/>
  <c r="V6" i="8"/>
  <c r="V14" i="8" s="1"/>
  <c r="V25" i="8" s="1"/>
  <c r="V41" i="8" s="1"/>
  <c r="AD40" i="4"/>
  <c r="AD41" i="4" s="1"/>
  <c r="AD20" i="6" s="1"/>
  <c r="AD69" i="4"/>
  <c r="AD67" i="4" s="1"/>
  <c r="Z17" i="6"/>
  <c r="Z24" i="6" s="1"/>
  <c r="Z59" i="4"/>
  <c r="AA52" i="4"/>
  <c r="AA53" i="4"/>
  <c r="AB17" i="4"/>
  <c r="AB11" i="6" s="1"/>
  <c r="AB81" i="4"/>
  <c r="AB82" i="4" s="1"/>
  <c r="AA15" i="7"/>
  <c r="AA21" i="8" s="1"/>
  <c r="AA15" i="8" s="1"/>
  <c r="Y24" i="6"/>
  <c r="AB6" i="6"/>
  <c r="R43" i="8"/>
  <c r="R33" i="7" s="1"/>
  <c r="R35" i="7" s="1"/>
  <c r="R37" i="7" s="1"/>
  <c r="R38" i="7" s="1"/>
  <c r="Y12" i="6"/>
  <c r="T8" i="7"/>
  <c r="S9" i="7"/>
  <c r="S20" i="7" s="1"/>
  <c r="W6" i="8"/>
  <c r="W14" i="8" s="1"/>
  <c r="W25" i="8" s="1"/>
  <c r="W41" i="8" s="1"/>
  <c r="W37" i="6"/>
  <c r="AB42" i="4"/>
  <c r="AB32" i="4"/>
  <c r="AB16" i="6" s="1"/>
  <c r="AE9" i="6"/>
  <c r="AF6" i="4"/>
  <c r="AF9" i="6" s="1"/>
  <c r="AA18" i="4"/>
  <c r="AA10" i="4"/>
  <c r="AA10" i="6" s="1"/>
  <c r="AA12" i="6" s="1"/>
  <c r="AA21" i="3"/>
  <c r="AB20" i="3"/>
  <c r="AC18" i="3"/>
  <c r="AC29" i="4"/>
  <c r="AB11" i="4"/>
  <c r="AF16" i="3"/>
  <c r="AF31" i="4"/>
  <c r="AE37" i="4"/>
  <c r="AE39" i="4"/>
  <c r="AH6" i="1"/>
  <c r="AN22" i="4"/>
  <c r="AH39" i="1"/>
  <c r="AG35" i="4"/>
  <c r="AF36" i="4"/>
  <c r="AF68" i="4" s="1"/>
  <c r="AH38" i="1"/>
  <c r="AG34" i="4"/>
  <c r="AD8" i="3"/>
  <c r="AD10" i="3" s="1"/>
  <c r="AC15" i="4"/>
  <c r="AG24" i="4"/>
  <c r="AG26" i="4" s="1"/>
  <c r="AH31" i="1"/>
  <c r="AH33" i="3" s="1"/>
  <c r="AH22" i="1"/>
  <c r="AG12" i="4"/>
  <c r="AH24" i="1"/>
  <c r="AH14" i="4" s="1"/>
  <c r="AH18" i="1"/>
  <c r="AG8" i="4"/>
  <c r="AH17" i="1"/>
  <c r="AG7" i="4"/>
  <c r="AH19" i="1"/>
  <c r="AG9" i="4"/>
  <c r="AH9" i="1"/>
  <c r="AI7" i="1"/>
  <c r="AI14" i="3" s="1"/>
  <c r="AH30" i="4"/>
  <c r="AD38" i="3" l="1"/>
  <c r="AI32" i="1"/>
  <c r="AH25" i="4"/>
  <c r="AH27" i="4" s="1"/>
  <c r="AH24" i="3" s="1"/>
  <c r="AT23" i="4"/>
  <c r="X36" i="6"/>
  <c r="X6" i="8" s="1"/>
  <c r="AG7" i="3"/>
  <c r="AO49" i="4"/>
  <c r="AO21" i="6" s="1"/>
  <c r="AH49" i="3"/>
  <c r="AE45" i="3"/>
  <c r="AE51" i="3" s="1"/>
  <c r="AI15" i="3"/>
  <c r="AI48" i="3" s="1"/>
  <c r="AI47" i="3"/>
  <c r="Z26" i="6"/>
  <c r="Z27" i="6" s="1"/>
  <c r="AF12" i="3"/>
  <c r="AF40" i="3"/>
  <c r="AF43" i="3" s="1"/>
  <c r="AG41" i="3" s="1"/>
  <c r="AA13" i="6"/>
  <c r="AA14" i="6" s="1"/>
  <c r="AR9" i="3"/>
  <c r="AR42" i="3" s="1"/>
  <c r="AF29" i="3"/>
  <c r="AF35" i="3" s="1"/>
  <c r="AB7" i="6"/>
  <c r="AB52" i="3"/>
  <c r="AB53" i="3" s="1"/>
  <c r="AE37" i="3"/>
  <c r="AE38" i="3" s="1"/>
  <c r="AF27" i="3"/>
  <c r="AG25" i="3" s="1"/>
  <c r="AR8" i="1"/>
  <c r="AR31" i="3" s="1"/>
  <c r="AR32" i="3" s="1"/>
  <c r="AS26" i="3"/>
  <c r="AO70" i="4"/>
  <c r="BC45" i="1"/>
  <c r="BB71" i="4"/>
  <c r="BB45" i="4"/>
  <c r="AG18" i="6"/>
  <c r="AG64" i="4"/>
  <c r="AI57" i="1"/>
  <c r="AH61" i="4"/>
  <c r="AQ48" i="1"/>
  <c r="AP74" i="4"/>
  <c r="AP48" i="4"/>
  <c r="BD59" i="1"/>
  <c r="BC80" i="4"/>
  <c r="BC79" i="4" s="1"/>
  <c r="BC63" i="4"/>
  <c r="AO22" i="6"/>
  <c r="BO55" i="1"/>
  <c r="BN78" i="4"/>
  <c r="BN57" i="4"/>
  <c r="AN21" i="6"/>
  <c r="AR53" i="1"/>
  <c r="AQ76" i="4"/>
  <c r="AQ75" i="4" s="1"/>
  <c r="AQ55" i="4"/>
  <c r="AQ47" i="1"/>
  <c r="AP73" i="4"/>
  <c r="AP47" i="4"/>
  <c r="AP49" i="4" s="1"/>
  <c r="AP21" i="6" s="1"/>
  <c r="BB46" i="1"/>
  <c r="BA72" i="4"/>
  <c r="BA46" i="4"/>
  <c r="BO54" i="1"/>
  <c r="BN77" i="4"/>
  <c r="BN56" i="4"/>
  <c r="BB23" i="6"/>
  <c r="AE40" i="4"/>
  <c r="AE41" i="4" s="1"/>
  <c r="AE20" i="6" s="1"/>
  <c r="AE19" i="6" s="1"/>
  <c r="AE69" i="4"/>
  <c r="AE67" i="4" s="1"/>
  <c r="AA17" i="6"/>
  <c r="AA59" i="4"/>
  <c r="AC17" i="4"/>
  <c r="AC11" i="6" s="1"/>
  <c r="AC81" i="4"/>
  <c r="AC82" i="4" s="1"/>
  <c r="AB53" i="4"/>
  <c r="AB52" i="4"/>
  <c r="S42" i="8"/>
  <c r="S43" i="8" s="1"/>
  <c r="T42" i="8" s="1"/>
  <c r="T43" i="8" s="1"/>
  <c r="AB15" i="7"/>
  <c r="AB21" i="8" s="1"/>
  <c r="AC6" i="6"/>
  <c r="Y13" i="6"/>
  <c r="AD19" i="6"/>
  <c r="T9" i="7"/>
  <c r="T20" i="7" s="1"/>
  <c r="U8" i="7"/>
  <c r="AC42" i="4"/>
  <c r="AC32" i="4"/>
  <c r="AC16" i="6" s="1"/>
  <c r="AB18" i="4"/>
  <c r="AB10" i="4"/>
  <c r="AB10" i="6" s="1"/>
  <c r="AB12" i="6" s="1"/>
  <c r="AG6" i="4"/>
  <c r="AG9" i="6" s="1"/>
  <c r="AB21" i="3"/>
  <c r="AC11" i="4"/>
  <c r="AC20" i="3"/>
  <c r="AG16" i="3"/>
  <c r="AG31" i="4"/>
  <c r="AD18" i="3"/>
  <c r="AD29" i="4"/>
  <c r="AF37" i="4"/>
  <c r="AF39" i="4"/>
  <c r="AI39" i="1"/>
  <c r="AH35" i="4"/>
  <c r="AO22" i="4"/>
  <c r="AI6" i="1"/>
  <c r="AG36" i="4"/>
  <c r="AG68" i="4" s="1"/>
  <c r="AI38" i="1"/>
  <c r="AH34" i="4"/>
  <c r="AH24" i="4"/>
  <c r="AH26" i="4" s="1"/>
  <c r="AI31" i="1"/>
  <c r="AI33" i="3" s="1"/>
  <c r="AE8" i="3"/>
  <c r="AE10" i="3" s="1"/>
  <c r="AD15" i="4"/>
  <c r="AI17" i="1"/>
  <c r="AH7" i="4"/>
  <c r="AI24" i="1"/>
  <c r="AI14" i="4" s="1"/>
  <c r="AI18" i="1"/>
  <c r="AH8" i="4"/>
  <c r="AI19" i="1"/>
  <c r="AH9" i="4"/>
  <c r="AI22" i="1"/>
  <c r="AH12" i="4"/>
  <c r="AI9" i="1"/>
  <c r="AJ7" i="1"/>
  <c r="AJ14" i="3" s="1"/>
  <c r="AI30" i="4"/>
  <c r="X37" i="6" l="1"/>
  <c r="AU23" i="4"/>
  <c r="AJ32" i="1"/>
  <c r="AI25" i="4"/>
  <c r="AI27" i="4" s="1"/>
  <c r="AI24" i="3" s="1"/>
  <c r="AI49" i="3"/>
  <c r="AP70" i="4"/>
  <c r="AH7" i="3"/>
  <c r="AT9" i="3" s="1"/>
  <c r="AF45" i="3"/>
  <c r="AF51" i="3" s="1"/>
  <c r="Z32" i="6"/>
  <c r="Z33" i="6" s="1"/>
  <c r="AG12" i="3"/>
  <c r="AG40" i="3"/>
  <c r="AG43" i="3" s="1"/>
  <c r="AH41" i="3" s="1"/>
  <c r="AJ15" i="3"/>
  <c r="AJ48" i="3" s="1"/>
  <c r="AJ47" i="3"/>
  <c r="AS9" i="3"/>
  <c r="AS42" i="3" s="1"/>
  <c r="AG27" i="3"/>
  <c r="AH25" i="3" s="1"/>
  <c r="AB13" i="6"/>
  <c r="AB14" i="6" s="1"/>
  <c r="AG29" i="3"/>
  <c r="AG35" i="3" s="1"/>
  <c r="AF37" i="3"/>
  <c r="AC7" i="6"/>
  <c r="AC52" i="3"/>
  <c r="AS8" i="1"/>
  <c r="AS31" i="3" s="1"/>
  <c r="AS32" i="3" s="1"/>
  <c r="BP54" i="1"/>
  <c r="BO77" i="4"/>
  <c r="BO56" i="4"/>
  <c r="BP55" i="1"/>
  <c r="BO78" i="4"/>
  <c r="BO57" i="4"/>
  <c r="AR48" i="1"/>
  <c r="AQ74" i="4"/>
  <c r="AQ48" i="4"/>
  <c r="AH18" i="6"/>
  <c r="AH64" i="4"/>
  <c r="AJ57" i="1"/>
  <c r="AI61" i="4"/>
  <c r="AS53" i="1"/>
  <c r="AR76" i="4"/>
  <c r="AR75" i="4" s="1"/>
  <c r="AR55" i="4"/>
  <c r="AR58" i="4" s="1"/>
  <c r="AR22" i="6" s="1"/>
  <c r="BC23" i="6"/>
  <c r="AQ58" i="4"/>
  <c r="BE59" i="1"/>
  <c r="BD80" i="4"/>
  <c r="BD79" i="4" s="1"/>
  <c r="BD63" i="4"/>
  <c r="BC46" i="1"/>
  <c r="BB72" i="4"/>
  <c r="BB46" i="4"/>
  <c r="AR47" i="1"/>
  <c r="AQ73" i="4"/>
  <c r="AQ47" i="4"/>
  <c r="BD45" i="1"/>
  <c r="BC71" i="4"/>
  <c r="BC45" i="4"/>
  <c r="AF40" i="4"/>
  <c r="AF41" i="4" s="1"/>
  <c r="AF20" i="6" s="1"/>
  <c r="AF19" i="6" s="1"/>
  <c r="AF69" i="4"/>
  <c r="AF67" i="4" s="1"/>
  <c r="S33" i="7"/>
  <c r="S35" i="7" s="1"/>
  <c r="S37" i="7" s="1"/>
  <c r="S38" i="7" s="1"/>
  <c r="AC52" i="4"/>
  <c r="AC53" i="4"/>
  <c r="AB17" i="6"/>
  <c r="AB24" i="6" s="1"/>
  <c r="AB59" i="4"/>
  <c r="AA24" i="6"/>
  <c r="AA26" i="6" s="1"/>
  <c r="AA27" i="6" s="1"/>
  <c r="AD17" i="4"/>
  <c r="AD11" i="6" s="1"/>
  <c r="AD81" i="4"/>
  <c r="AD82" i="4" s="1"/>
  <c r="AD6" i="6"/>
  <c r="AC15" i="7"/>
  <c r="AC21" i="8" s="1"/>
  <c r="AC15" i="8" s="1"/>
  <c r="AB15" i="8"/>
  <c r="U42" i="8"/>
  <c r="U43" i="8" s="1"/>
  <c r="T33" i="7"/>
  <c r="T35" i="7" s="1"/>
  <c r="T37" i="7" s="1"/>
  <c r="T38" i="7" s="1"/>
  <c r="U9" i="7"/>
  <c r="U20" i="7" s="1"/>
  <c r="V8" i="7"/>
  <c r="X14" i="8"/>
  <c r="X25" i="8" s="1"/>
  <c r="X41" i="8" s="1"/>
  <c r="BV6" i="8"/>
  <c r="BV14" i="8" s="1"/>
  <c r="Y26" i="6"/>
  <c r="Y14" i="6"/>
  <c r="AD42" i="4"/>
  <c r="AD32" i="4"/>
  <c r="AD16" i="6" s="1"/>
  <c r="AC18" i="4"/>
  <c r="AC10" i="4"/>
  <c r="AH6" i="4"/>
  <c r="AH9" i="6" s="1"/>
  <c r="AC21" i="3"/>
  <c r="AD20" i="3"/>
  <c r="AD52" i="3" s="1"/>
  <c r="AD11" i="4"/>
  <c r="AH16" i="3"/>
  <c r="AH31" i="4"/>
  <c r="AE18" i="3"/>
  <c r="AE29" i="4"/>
  <c r="AG37" i="4"/>
  <c r="AG39" i="4"/>
  <c r="AJ6" i="1"/>
  <c r="AP22" i="4"/>
  <c r="AJ39" i="1"/>
  <c r="AI35" i="4"/>
  <c r="AH36" i="4"/>
  <c r="AH68" i="4" s="1"/>
  <c r="AJ38" i="1"/>
  <c r="AI34" i="4"/>
  <c r="AF8" i="3"/>
  <c r="AF10" i="3" s="1"/>
  <c r="AE15" i="4"/>
  <c r="AJ31" i="1"/>
  <c r="AJ33" i="3" s="1"/>
  <c r="AI24" i="4"/>
  <c r="AI26" i="4" s="1"/>
  <c r="AJ24" i="1"/>
  <c r="AJ14" i="4" s="1"/>
  <c r="AJ19" i="1"/>
  <c r="AI9" i="4"/>
  <c r="AJ18" i="1"/>
  <c r="AI8" i="4"/>
  <c r="AJ22" i="1"/>
  <c r="AI12" i="4"/>
  <c r="AJ17" i="1"/>
  <c r="AI7" i="4"/>
  <c r="AJ9" i="1"/>
  <c r="AK7" i="1"/>
  <c r="AK14" i="3" s="1"/>
  <c r="AK47" i="3" s="1"/>
  <c r="AJ30" i="4"/>
  <c r="AK32" i="1" l="1"/>
  <c r="AJ25" i="4"/>
  <c r="AJ27" i="4" s="1"/>
  <c r="AJ24" i="3" s="1"/>
  <c r="AV23" i="4"/>
  <c r="Z36" i="6"/>
  <c r="Z37" i="6" s="1"/>
  <c r="AU26" i="3"/>
  <c r="AI7" i="3"/>
  <c r="AH12" i="3"/>
  <c r="AH27" i="3"/>
  <c r="AI25" i="3" s="1"/>
  <c r="AJ49" i="3"/>
  <c r="AG45" i="3"/>
  <c r="AG51" i="3" s="1"/>
  <c r="AH40" i="3"/>
  <c r="AH43" i="3" s="1"/>
  <c r="AI41" i="3" s="1"/>
  <c r="AB26" i="6"/>
  <c r="AB27" i="6" s="1"/>
  <c r="AH29" i="3"/>
  <c r="AH35" i="3" s="1"/>
  <c r="AF38" i="3"/>
  <c r="AD7" i="6"/>
  <c r="AD53" i="3"/>
  <c r="AT26" i="3"/>
  <c r="AG37" i="3"/>
  <c r="AG38" i="3" s="1"/>
  <c r="AC53" i="3"/>
  <c r="AT8" i="1"/>
  <c r="AQ49" i="4"/>
  <c r="AQ21" i="6" s="1"/>
  <c r="AT53" i="1"/>
  <c r="AS76" i="4"/>
  <c r="AS75" i="4" s="1"/>
  <c r="AS55" i="4"/>
  <c r="BD46" i="1"/>
  <c r="BC72" i="4"/>
  <c r="BC46" i="4"/>
  <c r="AS48" i="1"/>
  <c r="AR74" i="4"/>
  <c r="AR48" i="4"/>
  <c r="AQ22" i="6"/>
  <c r="BE45" i="1"/>
  <c r="BD71" i="4"/>
  <c r="BD45" i="4"/>
  <c r="BD23" i="6"/>
  <c r="AI18" i="6"/>
  <c r="AI64" i="4"/>
  <c r="AK57" i="1"/>
  <c r="AJ61" i="4"/>
  <c r="BQ55" i="1"/>
  <c r="BP78" i="4"/>
  <c r="BP57" i="4"/>
  <c r="AQ70" i="4"/>
  <c r="BF59" i="1"/>
  <c r="BE80" i="4"/>
  <c r="BE79" i="4" s="1"/>
  <c r="BE63" i="4"/>
  <c r="AS47" i="1"/>
  <c r="AR73" i="4"/>
  <c r="AR47" i="4"/>
  <c r="BQ54" i="1"/>
  <c r="BP77" i="4"/>
  <c r="BP56" i="4"/>
  <c r="AG40" i="4"/>
  <c r="AG41" i="4" s="1"/>
  <c r="AG20" i="6" s="1"/>
  <c r="AG69" i="4"/>
  <c r="AG67" i="4" s="1"/>
  <c r="AA32" i="6"/>
  <c r="AA33" i="6" s="1"/>
  <c r="AE17" i="4"/>
  <c r="AE11" i="6" s="1"/>
  <c r="AE81" i="4"/>
  <c r="AE82" i="4" s="1"/>
  <c r="AC17" i="6"/>
  <c r="AC59" i="4"/>
  <c r="AD53" i="4"/>
  <c r="AD52" i="4"/>
  <c r="AE6" i="6"/>
  <c r="AD15" i="7"/>
  <c r="AD21" i="8" s="1"/>
  <c r="V9" i="7"/>
  <c r="V20" i="7" s="1"/>
  <c r="W8" i="7"/>
  <c r="Y27" i="6"/>
  <c r="Y32" i="6"/>
  <c r="V42" i="8"/>
  <c r="V43" i="8" s="1"/>
  <c r="U33" i="7"/>
  <c r="U35" i="7" s="1"/>
  <c r="U37" i="7" s="1"/>
  <c r="U38" i="7" s="1"/>
  <c r="AE42" i="4"/>
  <c r="AE32" i="4"/>
  <c r="AE16" i="6" s="1"/>
  <c r="AD18" i="4"/>
  <c r="AD10" i="4"/>
  <c r="AD10" i="6" s="1"/>
  <c r="AD12" i="6" s="1"/>
  <c r="AC10" i="6"/>
  <c r="AI6" i="4"/>
  <c r="AI9" i="6" s="1"/>
  <c r="AK15" i="3"/>
  <c r="AK48" i="3" s="1"/>
  <c r="AK49" i="3" s="1"/>
  <c r="AD21" i="3"/>
  <c r="AE20" i="3"/>
  <c r="AF18" i="3"/>
  <c r="AF29" i="4"/>
  <c r="AI16" i="3"/>
  <c r="AI31" i="4"/>
  <c r="AE11" i="4"/>
  <c r="AH37" i="4"/>
  <c r="AH39" i="4"/>
  <c r="AK39" i="1"/>
  <c r="AJ35" i="4"/>
  <c r="AQ22" i="4"/>
  <c r="AK6" i="1"/>
  <c r="AI36" i="4"/>
  <c r="AI68" i="4" s="1"/>
  <c r="AK38" i="1"/>
  <c r="AJ34" i="4"/>
  <c r="AG8" i="3"/>
  <c r="AG10" i="3" s="1"/>
  <c r="AF15" i="4"/>
  <c r="AK31" i="1"/>
  <c r="AK33" i="3" s="1"/>
  <c r="AJ24" i="4"/>
  <c r="AJ26" i="4" s="1"/>
  <c r="AK22" i="1"/>
  <c r="AJ12" i="4"/>
  <c r="AK19" i="1"/>
  <c r="AJ9" i="4"/>
  <c r="AK18" i="1"/>
  <c r="AJ8" i="4"/>
  <c r="AK17" i="1"/>
  <c r="AJ7" i="4"/>
  <c r="AK24" i="1"/>
  <c r="AK14" i="4" s="1"/>
  <c r="AK9" i="1"/>
  <c r="AL7" i="1"/>
  <c r="AL14" i="3" s="1"/>
  <c r="AK30" i="4"/>
  <c r="Z6" i="8" l="1"/>
  <c r="Z14" i="8" s="1"/>
  <c r="Z25" i="8" s="1"/>
  <c r="Z41" i="8" s="1"/>
  <c r="AW23" i="4"/>
  <c r="AL32" i="1"/>
  <c r="AK25" i="4"/>
  <c r="AK27" i="4" s="1"/>
  <c r="AK24" i="3" s="1"/>
  <c r="AJ7" i="3"/>
  <c r="AB32" i="6"/>
  <c r="AB33" i="6" s="1"/>
  <c r="AI27" i="3"/>
  <c r="AJ25" i="3" s="1"/>
  <c r="AT31" i="3"/>
  <c r="AT32" i="3" s="1"/>
  <c r="AH45" i="3"/>
  <c r="AH51" i="3" s="1"/>
  <c r="AT42" i="3"/>
  <c r="AL15" i="3"/>
  <c r="AL48" i="3" s="1"/>
  <c r="AL47" i="3"/>
  <c r="AU9" i="3"/>
  <c r="AU42" i="3" s="1"/>
  <c r="AI40" i="3"/>
  <c r="AI43" i="3" s="1"/>
  <c r="AJ41" i="3" s="1"/>
  <c r="AI12" i="3"/>
  <c r="AD13" i="6"/>
  <c r="AD14" i="6" s="1"/>
  <c r="AE7" i="6"/>
  <c r="AE52" i="3"/>
  <c r="AU31" i="3"/>
  <c r="AU32" i="3" s="1"/>
  <c r="AI29" i="3"/>
  <c r="AI35" i="3" s="1"/>
  <c r="AH37" i="3"/>
  <c r="AH38" i="3" s="1"/>
  <c r="AU8" i="1"/>
  <c r="AR70" i="4"/>
  <c r="BR54" i="1"/>
  <c r="BQ77" i="4"/>
  <c r="BQ56" i="4"/>
  <c r="BE23" i="6"/>
  <c r="AL57" i="1"/>
  <c r="AK61" i="4"/>
  <c r="BF45" i="1"/>
  <c r="BE71" i="4"/>
  <c r="BE45" i="4"/>
  <c r="BE46" i="1"/>
  <c r="BD72" i="4"/>
  <c r="BD46" i="4"/>
  <c r="AS58" i="4"/>
  <c r="BG59" i="1"/>
  <c r="BF80" i="4"/>
  <c r="BF79" i="4" s="1"/>
  <c r="BF63" i="4"/>
  <c r="BF23" i="6" s="1"/>
  <c r="AU53" i="1"/>
  <c r="AT76" i="4"/>
  <c r="AT75" i="4" s="1"/>
  <c r="AT55" i="4"/>
  <c r="AT58" i="4" s="1"/>
  <c r="AT22" i="6" s="1"/>
  <c r="BW50" i="4"/>
  <c r="AR49" i="4"/>
  <c r="AT48" i="1"/>
  <c r="AS74" i="4"/>
  <c r="AS48" i="4"/>
  <c r="BR55" i="1"/>
  <c r="BQ78" i="4"/>
  <c r="BQ57" i="4"/>
  <c r="AT47" i="1"/>
  <c r="AS73" i="4"/>
  <c r="AS47" i="4"/>
  <c r="AJ18" i="6"/>
  <c r="AJ64" i="4"/>
  <c r="BW64" i="4" s="1"/>
  <c r="AA36" i="6"/>
  <c r="AA37" i="6" s="1"/>
  <c r="AH40" i="4"/>
  <c r="AH41" i="4" s="1"/>
  <c r="AH20" i="6" s="1"/>
  <c r="AH19" i="6" s="1"/>
  <c r="AH69" i="4"/>
  <c r="AH67" i="4" s="1"/>
  <c r="AC24" i="6"/>
  <c r="AE53" i="4"/>
  <c r="AE52" i="4"/>
  <c r="AF17" i="4"/>
  <c r="AF11" i="6" s="1"/>
  <c r="AF81" i="4"/>
  <c r="AF82" i="4" s="1"/>
  <c r="AD17" i="6"/>
  <c r="AD24" i="6" s="1"/>
  <c r="AD59" i="4"/>
  <c r="AE15" i="7"/>
  <c r="AE21" i="8" s="1"/>
  <c r="AE15" i="8" s="1"/>
  <c r="AD15" i="8"/>
  <c r="AF6" i="6"/>
  <c r="AC12" i="6"/>
  <c r="W42" i="8"/>
  <c r="W43" i="8" s="1"/>
  <c r="V33" i="7"/>
  <c r="V35" i="7" s="1"/>
  <c r="V37" i="7" s="1"/>
  <c r="V38" i="7" s="1"/>
  <c r="AG19" i="6"/>
  <c r="Y33" i="6"/>
  <c r="Y36" i="6"/>
  <c r="X8" i="7"/>
  <c r="W9" i="7"/>
  <c r="W20" i="7" s="1"/>
  <c r="AF42" i="4"/>
  <c r="AF32" i="4"/>
  <c r="AF16" i="6" s="1"/>
  <c r="AE18" i="4"/>
  <c r="AE10" i="4"/>
  <c r="AE10" i="6" s="1"/>
  <c r="AE12" i="6" s="1"/>
  <c r="AJ6" i="4"/>
  <c r="AJ9" i="6" s="1"/>
  <c r="AE21" i="3"/>
  <c r="AF20" i="3"/>
  <c r="AF11" i="4"/>
  <c r="AJ16" i="3"/>
  <c r="AJ31" i="4"/>
  <c r="AG18" i="3"/>
  <c r="AG29" i="4"/>
  <c r="AI37" i="4"/>
  <c r="AI39" i="4"/>
  <c r="AL6" i="1"/>
  <c r="AR22" i="4"/>
  <c r="AL39" i="1"/>
  <c r="AK35" i="4"/>
  <c r="AJ36" i="4"/>
  <c r="AJ68" i="4" s="1"/>
  <c r="AL38" i="1"/>
  <c r="AK34" i="4"/>
  <c r="AH8" i="3"/>
  <c r="AH10" i="3" s="1"/>
  <c r="AG15" i="4"/>
  <c r="AL31" i="1"/>
  <c r="AL33" i="3" s="1"/>
  <c r="AK24" i="4"/>
  <c r="AK26" i="4" s="1"/>
  <c r="AL19" i="1"/>
  <c r="AK9" i="4"/>
  <c r="AL24" i="1"/>
  <c r="AL14" i="4" s="1"/>
  <c r="AL17" i="1"/>
  <c r="AK7" i="4"/>
  <c r="AL18" i="1"/>
  <c r="AK8" i="4"/>
  <c r="AL22" i="1"/>
  <c r="AK12" i="4"/>
  <c r="AL9" i="1"/>
  <c r="AM7" i="1"/>
  <c r="AM14" i="3" s="1"/>
  <c r="AL30" i="4"/>
  <c r="AB36" i="6" l="1"/>
  <c r="AM32" i="1"/>
  <c r="AL25" i="4"/>
  <c r="AL27" i="4" s="1"/>
  <c r="AL24" i="3" s="1"/>
  <c r="AX23" i="4"/>
  <c r="AJ27" i="3"/>
  <c r="AK25" i="3" s="1"/>
  <c r="AS70" i="4"/>
  <c r="AK7" i="3"/>
  <c r="AD26" i="6"/>
  <c r="AD27" i="6" s="1"/>
  <c r="AE13" i="6"/>
  <c r="AE14" i="6" s="1"/>
  <c r="AL49" i="3"/>
  <c r="AM15" i="3"/>
  <c r="AM48" i="3" s="1"/>
  <c r="AM47" i="3"/>
  <c r="AJ12" i="3"/>
  <c r="AJ40" i="3"/>
  <c r="AJ43" i="3" s="1"/>
  <c r="AK41" i="3" s="1"/>
  <c r="AI45" i="3"/>
  <c r="AI51" i="3" s="1"/>
  <c r="AV9" i="3"/>
  <c r="AV26" i="3"/>
  <c r="AJ29" i="3"/>
  <c r="AJ35" i="3" s="1"/>
  <c r="AI37" i="3"/>
  <c r="AI38" i="3" s="1"/>
  <c r="AE53" i="3"/>
  <c r="AF7" i="6"/>
  <c r="AF52" i="3"/>
  <c r="AF53" i="3" s="1"/>
  <c r="AV8" i="1"/>
  <c r="AW26" i="3"/>
  <c r="BS55" i="1"/>
  <c r="BR78" i="4"/>
  <c r="BR57" i="4"/>
  <c r="AS22" i="6"/>
  <c r="AK18" i="6"/>
  <c r="AK64" i="4"/>
  <c r="AM57" i="1"/>
  <c r="AL61" i="4"/>
  <c r="AS49" i="4"/>
  <c r="AS21" i="6" s="1"/>
  <c r="AV53" i="1"/>
  <c r="AU76" i="4"/>
  <c r="AU75" i="4" s="1"/>
  <c r="AU55" i="4"/>
  <c r="AU58" i="4" s="1"/>
  <c r="AU22" i="6" s="1"/>
  <c r="BF46" i="1"/>
  <c r="BE72" i="4"/>
  <c r="BE46" i="4"/>
  <c r="AU47" i="1"/>
  <c r="AT73" i="4"/>
  <c r="AT47" i="4"/>
  <c r="AU48" i="1"/>
  <c r="AT74" i="4"/>
  <c r="AT48" i="4"/>
  <c r="AR21" i="6"/>
  <c r="BH59" i="1"/>
  <c r="BG80" i="4"/>
  <c r="BG79" i="4" s="1"/>
  <c r="BG63" i="4"/>
  <c r="BG45" i="1"/>
  <c r="BF71" i="4"/>
  <c r="BF45" i="4"/>
  <c r="BS54" i="1"/>
  <c r="BR77" i="4"/>
  <c r="BR56" i="4"/>
  <c r="AA6" i="8"/>
  <c r="AA14" i="8" s="1"/>
  <c r="AA25" i="8" s="1"/>
  <c r="AA41" i="8" s="1"/>
  <c r="AI40" i="4"/>
  <c r="AI41" i="4" s="1"/>
  <c r="AI20" i="6" s="1"/>
  <c r="AI19" i="6" s="1"/>
  <c r="AI69" i="4"/>
  <c r="AI67" i="4" s="1"/>
  <c r="AG17" i="4"/>
  <c r="AG11" i="6" s="1"/>
  <c r="AG81" i="4"/>
  <c r="AG82" i="4" s="1"/>
  <c r="AF53" i="4"/>
  <c r="AF52" i="4"/>
  <c r="AE17" i="6"/>
  <c r="AE59" i="4"/>
  <c r="AF15" i="7"/>
  <c r="AF21" i="8" s="1"/>
  <c r="AG6" i="6"/>
  <c r="Y6" i="8"/>
  <c r="Y37" i="6"/>
  <c r="Y8" i="7"/>
  <c r="X9" i="7"/>
  <c r="BV8" i="7"/>
  <c r="D45" i="8"/>
  <c r="W33" i="7"/>
  <c r="W35" i="7" s="1"/>
  <c r="W37" i="7" s="1"/>
  <c r="W38" i="7" s="1"/>
  <c r="X42" i="8"/>
  <c r="X43" i="8" s="1"/>
  <c r="AB6" i="8"/>
  <c r="AB14" i="8" s="1"/>
  <c r="AB25" i="8" s="1"/>
  <c r="AB41" i="8" s="1"/>
  <c r="AB37" i="6"/>
  <c r="AC13" i="6"/>
  <c r="AG42" i="4"/>
  <c r="AG32" i="4"/>
  <c r="AG16" i="6" s="1"/>
  <c r="AF18" i="4"/>
  <c r="AF10" i="4"/>
  <c r="AF10" i="6" s="1"/>
  <c r="AF12" i="6" s="1"/>
  <c r="AK6" i="4"/>
  <c r="AF21" i="3"/>
  <c r="AG20" i="3"/>
  <c r="AH18" i="3"/>
  <c r="AH29" i="4"/>
  <c r="AK16" i="3"/>
  <c r="AK31" i="4"/>
  <c r="AG11" i="4"/>
  <c r="AJ37" i="4"/>
  <c r="AJ39" i="4"/>
  <c r="AS22" i="4"/>
  <c r="AM39" i="1"/>
  <c r="AL35" i="4"/>
  <c r="AM6" i="1"/>
  <c r="AK36" i="4"/>
  <c r="AK68" i="4" s="1"/>
  <c r="AM38" i="1"/>
  <c r="AL34" i="4"/>
  <c r="AM31" i="1"/>
  <c r="AM33" i="3" s="1"/>
  <c r="AL24" i="4"/>
  <c r="AL26" i="4" s="1"/>
  <c r="AI8" i="3"/>
  <c r="AI10" i="3" s="1"/>
  <c r="AH15" i="4"/>
  <c r="AM18" i="1"/>
  <c r="AL8" i="4"/>
  <c r="AM24" i="1"/>
  <c r="AM14" i="4" s="1"/>
  <c r="AM22" i="1"/>
  <c r="AL12" i="4"/>
  <c r="AM17" i="1"/>
  <c r="AL7" i="4"/>
  <c r="AM19" i="1"/>
  <c r="AL9" i="4"/>
  <c r="AM9" i="1"/>
  <c r="AN7" i="1"/>
  <c r="AN14" i="3" s="1"/>
  <c r="AM30" i="4"/>
  <c r="AY23" i="4" l="1"/>
  <c r="AN32" i="1"/>
  <c r="AM25" i="4"/>
  <c r="AM27" i="4" s="1"/>
  <c r="AM24" i="3" s="1"/>
  <c r="AD32" i="6"/>
  <c r="AD33" i="6" s="1"/>
  <c r="AL7" i="3"/>
  <c r="AM49" i="3"/>
  <c r="AV42" i="3"/>
  <c r="AV31" i="3"/>
  <c r="AV32" i="3" s="1"/>
  <c r="AJ45" i="3"/>
  <c r="AJ51" i="3" s="1"/>
  <c r="AN15" i="3"/>
  <c r="AN48" i="3" s="1"/>
  <c r="AN47" i="3"/>
  <c r="AK40" i="3"/>
  <c r="AK43" i="3" s="1"/>
  <c r="AL41" i="3" s="1"/>
  <c r="AF13" i="6"/>
  <c r="AF14" i="6" s="1"/>
  <c r="AK27" i="3"/>
  <c r="AL25" i="3" s="1"/>
  <c r="AK29" i="3"/>
  <c r="AK35" i="3" s="1"/>
  <c r="AJ37" i="3"/>
  <c r="AJ38" i="3" s="1"/>
  <c r="AG7" i="6"/>
  <c r="AG52" i="3"/>
  <c r="AG53" i="3" s="1"/>
  <c r="AW8" i="1"/>
  <c r="AW31" i="3" s="1"/>
  <c r="AW32" i="3" s="1"/>
  <c r="AT70" i="4"/>
  <c r="AV47" i="1"/>
  <c r="AU73" i="4"/>
  <c r="AU47" i="4"/>
  <c r="BH45" i="1"/>
  <c r="BG71" i="4"/>
  <c r="BG45" i="4"/>
  <c r="AL18" i="6"/>
  <c r="AL64" i="4"/>
  <c r="BG23" i="6"/>
  <c r="AV48" i="1"/>
  <c r="AU74" i="4"/>
  <c r="AU48" i="4"/>
  <c r="BG46" i="1"/>
  <c r="BF72" i="4"/>
  <c r="BF46" i="4"/>
  <c r="AN57" i="1"/>
  <c r="AM61" i="4"/>
  <c r="BT54" i="1"/>
  <c r="BS77" i="4"/>
  <c r="BS56" i="4"/>
  <c r="BI59" i="1"/>
  <c r="BH80" i="4"/>
  <c r="BH79" i="4" s="1"/>
  <c r="BH63" i="4"/>
  <c r="BT55" i="1"/>
  <c r="BS78" i="4"/>
  <c r="BS57" i="4"/>
  <c r="AT49" i="4"/>
  <c r="AT21" i="6" s="1"/>
  <c r="AW53" i="1"/>
  <c r="AV76" i="4"/>
  <c r="AV75" i="4" s="1"/>
  <c r="AV55" i="4"/>
  <c r="AV58" i="4" s="1"/>
  <c r="AV22" i="6" s="1"/>
  <c r="AJ40" i="4"/>
  <c r="AJ41" i="4" s="1"/>
  <c r="AJ20" i="6" s="1"/>
  <c r="AJ19" i="6" s="1"/>
  <c r="AJ69" i="4"/>
  <c r="AJ67" i="4" s="1"/>
  <c r="AE24" i="6"/>
  <c r="AE26" i="6" s="1"/>
  <c r="AE27" i="6" s="1"/>
  <c r="AF17" i="6"/>
  <c r="AF24" i="6" s="1"/>
  <c r="AF59" i="4"/>
  <c r="AG52" i="4"/>
  <c r="AG53" i="4"/>
  <c r="AH17" i="4"/>
  <c r="AH11" i="6" s="1"/>
  <c r="AH81" i="4"/>
  <c r="AH82" i="4" s="1"/>
  <c r="AH6" i="6"/>
  <c r="AG15" i="7"/>
  <c r="AG21" i="8" s="1"/>
  <c r="AG15" i="8" s="1"/>
  <c r="AF15" i="8"/>
  <c r="AC26" i="6"/>
  <c r="AC14" i="6"/>
  <c r="Y9" i="7"/>
  <c r="Y20" i="7" s="1"/>
  <c r="Z8" i="7"/>
  <c r="X20" i="7"/>
  <c r="BV9" i="7"/>
  <c r="BV20" i="7" s="1"/>
  <c r="Y42" i="8"/>
  <c r="X33" i="7"/>
  <c r="Y14" i="8"/>
  <c r="Y25" i="8" s="1"/>
  <c r="Y41" i="8" s="1"/>
  <c r="AH11" i="4"/>
  <c r="AH10" i="4" s="1"/>
  <c r="AH10" i="6" s="1"/>
  <c r="AK12" i="3"/>
  <c r="AH42" i="4"/>
  <c r="AH32" i="4"/>
  <c r="AH16" i="6" s="1"/>
  <c r="AW9" i="3"/>
  <c r="AW42" i="3" s="1"/>
  <c r="AG18" i="4"/>
  <c r="AG10" i="4"/>
  <c r="AG10" i="6" s="1"/>
  <c r="AG12" i="6" s="1"/>
  <c r="AK9" i="6"/>
  <c r="AL6" i="4"/>
  <c r="AL9" i="6" s="1"/>
  <c r="AG21" i="3"/>
  <c r="AH20" i="3"/>
  <c r="AI18" i="3"/>
  <c r="AI29" i="4"/>
  <c r="AL16" i="3"/>
  <c r="AL31" i="4"/>
  <c r="AK37" i="4"/>
  <c r="AK39" i="4"/>
  <c r="AN6" i="1"/>
  <c r="AN39" i="1"/>
  <c r="AM35" i="4"/>
  <c r="AT22" i="4"/>
  <c r="AL36" i="4"/>
  <c r="AL68" i="4" s="1"/>
  <c r="AN38" i="1"/>
  <c r="AM34" i="4"/>
  <c r="AJ8" i="3"/>
  <c r="AJ10" i="3" s="1"/>
  <c r="AI15" i="4"/>
  <c r="AN31" i="1"/>
  <c r="AN33" i="3" s="1"/>
  <c r="AM24" i="4"/>
  <c r="AM26" i="4" s="1"/>
  <c r="AN22" i="1"/>
  <c r="AM12" i="4"/>
  <c r="AN19" i="1"/>
  <c r="AM9" i="4"/>
  <c r="AN17" i="1"/>
  <c r="AM7" i="4"/>
  <c r="AN24" i="1"/>
  <c r="AN14" i="4" s="1"/>
  <c r="AN18" i="1"/>
  <c r="AM8" i="4"/>
  <c r="AN9" i="1"/>
  <c r="AO7" i="1"/>
  <c r="AO14" i="3" s="1"/>
  <c r="AO47" i="3" s="1"/>
  <c r="AN30" i="4"/>
  <c r="AD36" i="6" l="1"/>
  <c r="AD37" i="6" s="1"/>
  <c r="AO32" i="1"/>
  <c r="AN25" i="4"/>
  <c r="AN27" i="4" s="1"/>
  <c r="AN24" i="3" s="1"/>
  <c r="AZ23" i="4"/>
  <c r="AK45" i="3"/>
  <c r="AK51" i="3" s="1"/>
  <c r="AM7" i="3"/>
  <c r="AN49" i="3"/>
  <c r="AF26" i="6"/>
  <c r="AF27" i="6" s="1"/>
  <c r="AX9" i="3"/>
  <c r="AL40" i="3"/>
  <c r="AL43" i="3" s="1"/>
  <c r="AM41" i="3" s="1"/>
  <c r="AL12" i="3"/>
  <c r="AL27" i="3"/>
  <c r="AM25" i="3" s="1"/>
  <c r="AK37" i="3"/>
  <c r="AH7" i="6"/>
  <c r="AH52" i="3"/>
  <c r="AH53" i="3" s="1"/>
  <c r="AL29" i="3"/>
  <c r="AL35" i="3" s="1"/>
  <c r="AX26" i="3"/>
  <c r="AX8" i="1"/>
  <c r="AU70" i="4"/>
  <c r="AM18" i="6"/>
  <c r="AM64" i="4"/>
  <c r="BT78" i="4"/>
  <c r="BT57" i="4"/>
  <c r="AO57" i="1"/>
  <c r="AN61" i="4"/>
  <c r="BH23" i="6"/>
  <c r="AU49" i="4"/>
  <c r="AU21" i="6" s="1"/>
  <c r="AX53" i="1"/>
  <c r="AW76" i="4"/>
  <c r="AW75" i="4" s="1"/>
  <c r="AW55" i="4"/>
  <c r="BJ59" i="1"/>
  <c r="BI80" i="4"/>
  <c r="BI79" i="4" s="1"/>
  <c r="BI63" i="4"/>
  <c r="BH46" i="1"/>
  <c r="BG72" i="4"/>
  <c r="BG46" i="4"/>
  <c r="AW47" i="1"/>
  <c r="AV73" i="4"/>
  <c r="AV47" i="4"/>
  <c r="BI45" i="1"/>
  <c r="BH71" i="4"/>
  <c r="BH45" i="4"/>
  <c r="BT77" i="4"/>
  <c r="BT56" i="4"/>
  <c r="AW48" i="1"/>
  <c r="AV74" i="4"/>
  <c r="AV48" i="4"/>
  <c r="AG17" i="6"/>
  <c r="AG24" i="6" s="1"/>
  <c r="AE32" i="6"/>
  <c r="AE33" i="6" s="1"/>
  <c r="AK40" i="4"/>
  <c r="AK41" i="4" s="1"/>
  <c r="AK20" i="6" s="1"/>
  <c r="AK69" i="4"/>
  <c r="AK67" i="4" s="1"/>
  <c r="AH12" i="6"/>
  <c r="AI17" i="4"/>
  <c r="AI11" i="6" s="1"/>
  <c r="AI81" i="4"/>
  <c r="AI82" i="4" s="1"/>
  <c r="AG59" i="4"/>
  <c r="AH52" i="4"/>
  <c r="AH53" i="4"/>
  <c r="AI6" i="6"/>
  <c r="Y43" i="8"/>
  <c r="Z42" i="8" s="1"/>
  <c r="Z43" i="8" s="1"/>
  <c r="AH18" i="4"/>
  <c r="AH15" i="7"/>
  <c r="AH21" i="8" s="1"/>
  <c r="AH15" i="8" s="1"/>
  <c r="Z9" i="7"/>
  <c r="Z20" i="7" s="1"/>
  <c r="AA8" i="7"/>
  <c r="AG13" i="6"/>
  <c r="AD6" i="8"/>
  <c r="AD14" i="8" s="1"/>
  <c r="AD25" i="8" s="1"/>
  <c r="AD41" i="8" s="1"/>
  <c r="X35" i="7"/>
  <c r="X37" i="7" s="1"/>
  <c r="X38" i="7" s="1"/>
  <c r="BV33" i="7"/>
  <c r="BV35" i="7" s="1"/>
  <c r="BV37" i="7" s="1"/>
  <c r="BV38" i="7" s="1"/>
  <c r="AC27" i="6"/>
  <c r="AC32" i="6"/>
  <c r="AI42" i="4"/>
  <c r="AI32" i="4"/>
  <c r="AI16" i="6" s="1"/>
  <c r="AM6" i="4"/>
  <c r="AM9" i="6" s="1"/>
  <c r="AO15" i="3"/>
  <c r="AO48" i="3" s="1"/>
  <c r="AO49" i="3" s="1"/>
  <c r="AH21" i="3"/>
  <c r="AI11" i="4"/>
  <c r="AI20" i="3"/>
  <c r="AJ18" i="3"/>
  <c r="AJ29" i="4"/>
  <c r="AM16" i="3"/>
  <c r="AM31" i="4"/>
  <c r="AL37" i="4"/>
  <c r="AL39" i="4"/>
  <c r="AU22" i="4"/>
  <c r="AO39" i="1"/>
  <c r="AN35" i="4"/>
  <c r="AO6" i="1"/>
  <c r="AM36" i="4"/>
  <c r="AM68" i="4" s="1"/>
  <c r="AO38" i="1"/>
  <c r="AN34" i="4"/>
  <c r="AO31" i="1"/>
  <c r="AO33" i="3" s="1"/>
  <c r="AN24" i="4"/>
  <c r="AN26" i="4" s="1"/>
  <c r="AK8" i="3"/>
  <c r="AK10" i="3" s="1"/>
  <c r="AJ15" i="4"/>
  <c r="AO19" i="1"/>
  <c r="AN9" i="4"/>
  <c r="AO24" i="1"/>
  <c r="AO14" i="4" s="1"/>
  <c r="AO17" i="1"/>
  <c r="AN7" i="4"/>
  <c r="AO18" i="1"/>
  <c r="AN8" i="4"/>
  <c r="AO22" i="1"/>
  <c r="AN12" i="4"/>
  <c r="AO9" i="1"/>
  <c r="AP7" i="1"/>
  <c r="AP14" i="3" s="1"/>
  <c r="AO30" i="4"/>
  <c r="BA23" i="4" l="1"/>
  <c r="AP32" i="1"/>
  <c r="AO25" i="4"/>
  <c r="AO27" i="4" s="1"/>
  <c r="AO24" i="3" s="1"/>
  <c r="AN7" i="3"/>
  <c r="AN12" i="3" s="1"/>
  <c r="AF32" i="6"/>
  <c r="AF33" i="6" s="1"/>
  <c r="AM40" i="3"/>
  <c r="AM43" i="3" s="1"/>
  <c r="AN41" i="3" s="1"/>
  <c r="AL45" i="3"/>
  <c r="AL51" i="3" s="1"/>
  <c r="AX31" i="3"/>
  <c r="AX32" i="3" s="1"/>
  <c r="AP15" i="3"/>
  <c r="AP48" i="3" s="1"/>
  <c r="AP47" i="3"/>
  <c r="AX42" i="3"/>
  <c r="AH13" i="6"/>
  <c r="AH14" i="6" s="1"/>
  <c r="AM29" i="3"/>
  <c r="AM35" i="3" s="1"/>
  <c r="AY26" i="3"/>
  <c r="AL37" i="3"/>
  <c r="AL38" i="3" s="1"/>
  <c r="AI7" i="6"/>
  <c r="AI52" i="3"/>
  <c r="AI53" i="3" s="1"/>
  <c r="AM27" i="3"/>
  <c r="AN25" i="3" s="1"/>
  <c r="AK38" i="3"/>
  <c r="AY8" i="1"/>
  <c r="AV70" i="4"/>
  <c r="AY53" i="1"/>
  <c r="AX76" i="4"/>
  <c r="AX75" i="4" s="1"/>
  <c r="AX55" i="4"/>
  <c r="AX58" i="4" s="1"/>
  <c r="AX22" i="6" s="1"/>
  <c r="BJ45" i="1"/>
  <c r="BI71" i="4"/>
  <c r="BI45" i="4"/>
  <c r="BI46" i="1"/>
  <c r="BH72" i="4"/>
  <c r="BH46" i="4"/>
  <c r="AX48" i="1"/>
  <c r="AW74" i="4"/>
  <c r="AW48" i="4"/>
  <c r="AV49" i="4"/>
  <c r="AV21" i="6" s="1"/>
  <c r="BI23" i="6"/>
  <c r="BY56" i="4"/>
  <c r="BZ56" i="4"/>
  <c r="AX47" i="1"/>
  <c r="AW73" i="4"/>
  <c r="AW47" i="4"/>
  <c r="BK59" i="1"/>
  <c r="BJ80" i="4"/>
  <c r="BJ79" i="4" s="1"/>
  <c r="BJ63" i="4"/>
  <c r="AN18" i="6"/>
  <c r="AN64" i="4"/>
  <c r="AW58" i="4"/>
  <c r="AP57" i="1"/>
  <c r="AO61" i="4"/>
  <c r="BY57" i="4"/>
  <c r="BZ57" i="4"/>
  <c r="AE36" i="6"/>
  <c r="AE6" i="8" s="1"/>
  <c r="AE14" i="8" s="1"/>
  <c r="AE25" i="8" s="1"/>
  <c r="AE41" i="8" s="1"/>
  <c r="AG26" i="6"/>
  <c r="AG27" i="6" s="1"/>
  <c r="AL40" i="4"/>
  <c r="AL41" i="4" s="1"/>
  <c r="AL20" i="6" s="1"/>
  <c r="AL19" i="6" s="1"/>
  <c r="AL69" i="4"/>
  <c r="AL67" i="4" s="1"/>
  <c r="Y33" i="7"/>
  <c r="Y35" i="7" s="1"/>
  <c r="Y37" i="7" s="1"/>
  <c r="Y38" i="7" s="1"/>
  <c r="AH17" i="6"/>
  <c r="AH24" i="6" s="1"/>
  <c r="AH59" i="4"/>
  <c r="AJ17" i="4"/>
  <c r="AJ11" i="6" s="1"/>
  <c r="AJ81" i="4"/>
  <c r="AJ82" i="4" s="1"/>
  <c r="AI52" i="4"/>
  <c r="AI53" i="4"/>
  <c r="AJ6" i="6"/>
  <c r="AI15" i="7"/>
  <c r="AI21" i="8" s="1"/>
  <c r="AI15" i="8" s="1"/>
  <c r="AK19" i="6"/>
  <c r="AC33" i="6"/>
  <c r="AC36" i="6"/>
  <c r="AG14" i="6"/>
  <c r="AB8" i="7"/>
  <c r="AA9" i="7"/>
  <c r="AA20" i="7" s="1"/>
  <c r="AA42" i="8"/>
  <c r="AA43" i="8" s="1"/>
  <c r="Z33" i="7"/>
  <c r="Z35" i="7" s="1"/>
  <c r="Z37" i="7" s="1"/>
  <c r="Z38" i="7" s="1"/>
  <c r="AJ42" i="4"/>
  <c r="AJ32" i="4"/>
  <c r="AJ16" i="6" s="1"/>
  <c r="AY9" i="3"/>
  <c r="AM12" i="3"/>
  <c r="AF36" i="6"/>
  <c r="AI18" i="4"/>
  <c r="AI10" i="4"/>
  <c r="AI10" i="6" s="1"/>
  <c r="AI12" i="6" s="1"/>
  <c r="AN6" i="4"/>
  <c r="AI21" i="3"/>
  <c r="AJ20" i="3"/>
  <c r="AJ11" i="4"/>
  <c r="AK18" i="3"/>
  <c r="AK29" i="4"/>
  <c r="AK32" i="4" s="1"/>
  <c r="AK16" i="6" s="1"/>
  <c r="AN16" i="3"/>
  <c r="AN31" i="4"/>
  <c r="AM37" i="4"/>
  <c r="AM39" i="4"/>
  <c r="AP6" i="1"/>
  <c r="AP39" i="1"/>
  <c r="AO35" i="4"/>
  <c r="AV22" i="4"/>
  <c r="AN36" i="4"/>
  <c r="AN68" i="4" s="1"/>
  <c r="AP38" i="1"/>
  <c r="AO34" i="4"/>
  <c r="AP31" i="1"/>
  <c r="AP33" i="3" s="1"/>
  <c r="AO24" i="4"/>
  <c r="AO26" i="4" s="1"/>
  <c r="AL8" i="3"/>
  <c r="AL10" i="3" s="1"/>
  <c r="AK15" i="4"/>
  <c r="AP18" i="1"/>
  <c r="AO8" i="4"/>
  <c r="AP17" i="1"/>
  <c r="AO7" i="4"/>
  <c r="AP24" i="1"/>
  <c r="AP14" i="4" s="1"/>
  <c r="AP22" i="1"/>
  <c r="AO12" i="4"/>
  <c r="AP19" i="1"/>
  <c r="AO9" i="4"/>
  <c r="AP9" i="1"/>
  <c r="AQ7" i="1"/>
  <c r="AQ14" i="3" s="1"/>
  <c r="AP30" i="4"/>
  <c r="AY42" i="3" l="1"/>
  <c r="AQ32" i="1"/>
  <c r="AP25" i="4"/>
  <c r="AP27" i="4" s="1"/>
  <c r="AP24" i="3" s="1"/>
  <c r="BB23" i="4"/>
  <c r="AO7" i="3"/>
  <c r="AP49" i="3"/>
  <c r="AY31" i="3"/>
  <c r="AY32" i="3" s="1"/>
  <c r="AM45" i="3"/>
  <c r="AM51" i="3" s="1"/>
  <c r="AQ15" i="3"/>
  <c r="AQ48" i="3" s="1"/>
  <c r="AQ47" i="3"/>
  <c r="AH26" i="6"/>
  <c r="AH27" i="6" s="1"/>
  <c r="AZ9" i="3"/>
  <c r="AN40" i="3"/>
  <c r="AN43" i="3" s="1"/>
  <c r="AO41" i="3" s="1"/>
  <c r="AN29" i="3"/>
  <c r="AN35" i="3" s="1"/>
  <c r="AJ7" i="6"/>
  <c r="AJ52" i="3"/>
  <c r="AJ53" i="3" s="1"/>
  <c r="AN27" i="3"/>
  <c r="AO25" i="3" s="1"/>
  <c r="AM37" i="3"/>
  <c r="AM38" i="3" s="1"/>
  <c r="AZ26" i="3"/>
  <c r="AZ8" i="1"/>
  <c r="BA26" i="3"/>
  <c r="AW70" i="4"/>
  <c r="AO18" i="6"/>
  <c r="AO64" i="4"/>
  <c r="BL59" i="1"/>
  <c r="BK80" i="4"/>
  <c r="BK79" i="4" s="1"/>
  <c r="BK63" i="4"/>
  <c r="AY48" i="1"/>
  <c r="AX74" i="4"/>
  <c r="AX48" i="4"/>
  <c r="BK45" i="1"/>
  <c r="BJ71" i="4"/>
  <c r="BJ45" i="4"/>
  <c r="AQ57" i="1"/>
  <c r="AP61" i="4"/>
  <c r="AW49" i="4"/>
  <c r="AW22" i="6"/>
  <c r="AY47" i="1"/>
  <c r="AX73" i="4"/>
  <c r="AX47" i="4"/>
  <c r="AZ53" i="1"/>
  <c r="AY76" i="4"/>
  <c r="AY75" i="4" s="1"/>
  <c r="AY55" i="4"/>
  <c r="BJ46" i="1"/>
  <c r="BI72" i="4"/>
  <c r="BI46" i="4"/>
  <c r="BJ23" i="6"/>
  <c r="AG32" i="6"/>
  <c r="AG33" i="6" s="1"/>
  <c r="AE37" i="6"/>
  <c r="AM40" i="4"/>
  <c r="AM41" i="4" s="1"/>
  <c r="AM20" i="6" s="1"/>
  <c r="AM19" i="6" s="1"/>
  <c r="AM69" i="4"/>
  <c r="AM67" i="4" s="1"/>
  <c r="AI17" i="6"/>
  <c r="AI24" i="6" s="1"/>
  <c r="AI59" i="4"/>
  <c r="AJ53" i="4"/>
  <c r="AJ52" i="4"/>
  <c r="AK17" i="4"/>
  <c r="AK11" i="6" s="1"/>
  <c r="AK81" i="4"/>
  <c r="AK82" i="4" s="1"/>
  <c r="AK6" i="6"/>
  <c r="AJ15" i="7"/>
  <c r="AJ21" i="8" s="1"/>
  <c r="AJ15" i="8" s="1"/>
  <c r="AB9" i="7"/>
  <c r="AB20" i="7" s="1"/>
  <c r="AC8" i="7"/>
  <c r="AB42" i="8"/>
  <c r="AB43" i="8" s="1"/>
  <c r="AA33" i="7"/>
  <c r="AA35" i="7" s="1"/>
  <c r="AA37" i="7" s="1"/>
  <c r="AA38" i="7" s="1"/>
  <c r="AI13" i="6"/>
  <c r="AF6" i="8"/>
  <c r="AF14" i="8" s="1"/>
  <c r="AF25" i="8" s="1"/>
  <c r="AF41" i="8" s="1"/>
  <c r="AF37" i="6"/>
  <c r="AC6" i="8"/>
  <c r="AC37" i="6"/>
  <c r="AK42" i="4"/>
  <c r="AN9" i="6"/>
  <c r="AJ18" i="4"/>
  <c r="AJ10" i="4"/>
  <c r="AJ10" i="6" s="1"/>
  <c r="AJ12" i="6" s="1"/>
  <c r="AO6" i="4"/>
  <c r="AO9" i="6" s="1"/>
  <c r="AJ21" i="3"/>
  <c r="AK11" i="4"/>
  <c r="AK20" i="3"/>
  <c r="AO16" i="3"/>
  <c r="AO31" i="4"/>
  <c r="AL18" i="3"/>
  <c r="AL29" i="4"/>
  <c r="AN37" i="4"/>
  <c r="AN39" i="4"/>
  <c r="AQ39" i="1"/>
  <c r="AP35" i="4"/>
  <c r="AW22" i="4"/>
  <c r="AQ6" i="1"/>
  <c r="AO36" i="4"/>
  <c r="AO68" i="4" s="1"/>
  <c r="AQ38" i="1"/>
  <c r="AP34" i="4"/>
  <c r="AQ31" i="1"/>
  <c r="AQ33" i="3" s="1"/>
  <c r="AP24" i="4"/>
  <c r="AP26" i="4" s="1"/>
  <c r="AM8" i="3"/>
  <c r="AM10" i="3" s="1"/>
  <c r="AL15" i="4"/>
  <c r="AQ22" i="1"/>
  <c r="AP12" i="4"/>
  <c r="AQ24" i="1"/>
  <c r="AQ14" i="4" s="1"/>
  <c r="AQ19" i="1"/>
  <c r="AP9" i="4"/>
  <c r="AQ17" i="1"/>
  <c r="AP7" i="4"/>
  <c r="AQ18" i="1"/>
  <c r="AP8" i="4"/>
  <c r="AQ9" i="1"/>
  <c r="AR7" i="1"/>
  <c r="AR14" i="3" s="1"/>
  <c r="AQ30" i="4"/>
  <c r="BC23" i="4" l="1"/>
  <c r="AX70" i="4"/>
  <c r="AR32" i="1"/>
  <c r="AQ25" i="4"/>
  <c r="AQ27" i="4" s="1"/>
  <c r="AQ24" i="3" s="1"/>
  <c r="AQ49" i="3"/>
  <c r="AP7" i="3"/>
  <c r="AN45" i="3"/>
  <c r="AN51" i="3" s="1"/>
  <c r="AZ31" i="3"/>
  <c r="AZ32" i="3" s="1"/>
  <c r="BA9" i="3"/>
  <c r="BA42" i="3" s="1"/>
  <c r="AO40" i="3"/>
  <c r="AO43" i="3" s="1"/>
  <c r="AP41" i="3" s="1"/>
  <c r="AZ42" i="3"/>
  <c r="AH32" i="6"/>
  <c r="AH33" i="6" s="1"/>
  <c r="AR15" i="3"/>
  <c r="AR48" i="3" s="1"/>
  <c r="AR47" i="3"/>
  <c r="AJ13" i="6"/>
  <c r="AJ14" i="6" s="1"/>
  <c r="AO12" i="3"/>
  <c r="AO27" i="3"/>
  <c r="AP25" i="3" s="1"/>
  <c r="AK7" i="6"/>
  <c r="AK52" i="3"/>
  <c r="AN37" i="3"/>
  <c r="AO29" i="3"/>
  <c r="AO35" i="3" s="1"/>
  <c r="BA8" i="1"/>
  <c r="BA31" i="3" s="1"/>
  <c r="BA32" i="3" s="1"/>
  <c r="BB26" i="3"/>
  <c r="AX49" i="4"/>
  <c r="AX21" i="6" s="1"/>
  <c r="AP18" i="6"/>
  <c r="AP64" i="4"/>
  <c r="BK23" i="6"/>
  <c r="AR57" i="1"/>
  <c r="AQ61" i="4"/>
  <c r="AY58" i="4"/>
  <c r="AZ47" i="1"/>
  <c r="AY73" i="4"/>
  <c r="AY47" i="4"/>
  <c r="BM59" i="1"/>
  <c r="BL80" i="4"/>
  <c r="BL79" i="4" s="1"/>
  <c r="BL63" i="4"/>
  <c r="BL45" i="1"/>
  <c r="BK71" i="4"/>
  <c r="BK45" i="4"/>
  <c r="BA53" i="1"/>
  <c r="AZ76" i="4"/>
  <c r="AZ75" i="4" s="1"/>
  <c r="AZ55" i="4"/>
  <c r="AZ58" i="4" s="1"/>
  <c r="AZ22" i="6" s="1"/>
  <c r="AW21" i="6"/>
  <c r="BK46" i="1"/>
  <c r="BJ72" i="4"/>
  <c r="BJ46" i="4"/>
  <c r="AZ48" i="1"/>
  <c r="AY74" i="4"/>
  <c r="AY48" i="4"/>
  <c r="AG36" i="6"/>
  <c r="AG37" i="6" s="1"/>
  <c r="AN40" i="4"/>
  <c r="AN41" i="4" s="1"/>
  <c r="AN20" i="6" s="1"/>
  <c r="AN19" i="6" s="1"/>
  <c r="AN69" i="4"/>
  <c r="AN67" i="4" s="1"/>
  <c r="AI26" i="6"/>
  <c r="AI27" i="6" s="1"/>
  <c r="AK52" i="4"/>
  <c r="AK53" i="4"/>
  <c r="AJ17" i="6"/>
  <c r="AJ24" i="6" s="1"/>
  <c r="AJ59" i="4"/>
  <c r="BW59" i="4" s="1"/>
  <c r="AL17" i="4"/>
  <c r="AL11" i="6" s="1"/>
  <c r="AL81" i="4"/>
  <c r="AL82" i="4" s="1"/>
  <c r="AK15" i="7"/>
  <c r="AK21" i="8" s="1"/>
  <c r="AL6" i="6"/>
  <c r="AI14" i="6"/>
  <c r="BW12" i="6"/>
  <c r="AC42" i="8"/>
  <c r="AB33" i="7"/>
  <c r="AB35" i="7" s="1"/>
  <c r="AB37" i="7" s="1"/>
  <c r="AB38" i="7" s="1"/>
  <c r="AC14" i="8"/>
  <c r="AC25" i="8" s="1"/>
  <c r="AC41" i="8" s="1"/>
  <c r="AD8" i="7"/>
  <c r="AC9" i="7"/>
  <c r="AC20" i="7" s="1"/>
  <c r="AL42" i="4"/>
  <c r="AL32" i="4"/>
  <c r="AL16" i="6" s="1"/>
  <c r="AK18" i="4"/>
  <c r="AK10" i="4"/>
  <c r="AP6" i="4"/>
  <c r="AP9" i="6" s="1"/>
  <c r="AK21" i="3"/>
  <c r="AL11" i="4"/>
  <c r="AL20" i="3"/>
  <c r="AM18" i="3"/>
  <c r="AM29" i="4"/>
  <c r="AM32" i="4" s="1"/>
  <c r="AM16" i="6" s="1"/>
  <c r="AP16" i="3"/>
  <c r="AP31" i="4"/>
  <c r="AO37" i="4"/>
  <c r="AO39" i="4"/>
  <c r="AR6" i="1"/>
  <c r="AX22" i="4"/>
  <c r="AR39" i="1"/>
  <c r="AQ35" i="4"/>
  <c r="AP36" i="4"/>
  <c r="AP68" i="4" s="1"/>
  <c r="AR38" i="1"/>
  <c r="AQ34" i="4"/>
  <c r="AN8" i="3"/>
  <c r="AN10" i="3" s="1"/>
  <c r="AM15" i="4"/>
  <c r="AQ24" i="4"/>
  <c r="AQ26" i="4" s="1"/>
  <c r="AR31" i="1"/>
  <c r="AR33" i="3" s="1"/>
  <c r="AR17" i="1"/>
  <c r="AQ7" i="4"/>
  <c r="AR19" i="1"/>
  <c r="AQ9" i="4"/>
  <c r="AR18" i="1"/>
  <c r="AQ8" i="4"/>
  <c r="AR24" i="1"/>
  <c r="AR14" i="4" s="1"/>
  <c r="AR22" i="1"/>
  <c r="AQ12" i="4"/>
  <c r="AR9" i="1"/>
  <c r="AS7" i="1"/>
  <c r="AS14" i="3" s="1"/>
  <c r="AR30" i="4"/>
  <c r="AS32" i="1" l="1"/>
  <c r="AR25" i="4"/>
  <c r="AR27" i="4" s="1"/>
  <c r="AR24" i="3" s="1"/>
  <c r="BD23" i="4"/>
  <c r="BC26" i="3"/>
  <c r="AQ7" i="3"/>
  <c r="BC9" i="3" s="1"/>
  <c r="AJ26" i="6"/>
  <c r="AJ27" i="6" s="1"/>
  <c r="AR49" i="3"/>
  <c r="AH36" i="6"/>
  <c r="AH6" i="8" s="1"/>
  <c r="AS15" i="3"/>
  <c r="AS48" i="3" s="1"/>
  <c r="AS47" i="3"/>
  <c r="AP40" i="3"/>
  <c r="AP43" i="3" s="1"/>
  <c r="AQ41" i="3" s="1"/>
  <c r="AO45" i="3"/>
  <c r="AO51" i="3" s="1"/>
  <c r="AO37" i="3"/>
  <c r="AO38" i="3" s="1"/>
  <c r="AP29" i="3"/>
  <c r="AP35" i="3" s="1"/>
  <c r="AN38" i="3"/>
  <c r="AL7" i="6"/>
  <c r="AL52" i="3"/>
  <c r="AL53" i="3" s="1"/>
  <c r="AK53" i="3"/>
  <c r="AP27" i="3"/>
  <c r="AQ25" i="3" s="1"/>
  <c r="BB8" i="1"/>
  <c r="BB31" i="3" s="1"/>
  <c r="BB32" i="3" s="1"/>
  <c r="AG6" i="8"/>
  <c r="AG14" i="8" s="1"/>
  <c r="AG25" i="8" s="1"/>
  <c r="AG41" i="8" s="1"/>
  <c r="AY70" i="4"/>
  <c r="BA48" i="1"/>
  <c r="AZ74" i="4"/>
  <c r="AZ48" i="4"/>
  <c r="BA47" i="1"/>
  <c r="AZ73" i="4"/>
  <c r="AZ47" i="4"/>
  <c r="BB53" i="1"/>
  <c r="BA76" i="4"/>
  <c r="BA75" i="4" s="1"/>
  <c r="BA55" i="4"/>
  <c r="BA58" i="4" s="1"/>
  <c r="BA22" i="6" s="1"/>
  <c r="BL23" i="6"/>
  <c r="AY22" i="6"/>
  <c r="BL46" i="1"/>
  <c r="BK72" i="4"/>
  <c r="BK46" i="4"/>
  <c r="AQ18" i="6"/>
  <c r="AQ64" i="4"/>
  <c r="BN59" i="1"/>
  <c r="BM80" i="4"/>
  <c r="BM79" i="4" s="1"/>
  <c r="BM63" i="4"/>
  <c r="AS57" i="1"/>
  <c r="AR61" i="4"/>
  <c r="BM45" i="1"/>
  <c r="BL71" i="4"/>
  <c r="BL45" i="4"/>
  <c r="AY49" i="4"/>
  <c r="AI32" i="6"/>
  <c r="AI33" i="6" s="1"/>
  <c r="AO40" i="4"/>
  <c r="AO41" i="4" s="1"/>
  <c r="AO20" i="6" s="1"/>
  <c r="AO69" i="4"/>
  <c r="AO67" i="4" s="1"/>
  <c r="AL53" i="4"/>
  <c r="AL52" i="4"/>
  <c r="AK17" i="6"/>
  <c r="AK59" i="4"/>
  <c r="AM17" i="4"/>
  <c r="AM11" i="6" s="1"/>
  <c r="AM81" i="4"/>
  <c r="AM82" i="4" s="1"/>
  <c r="AL15" i="7"/>
  <c r="AL21" i="8" s="1"/>
  <c r="AL15" i="8" s="1"/>
  <c r="AM6" i="6"/>
  <c r="AK15" i="8"/>
  <c r="AD9" i="7"/>
  <c r="AD20" i="7" s="1"/>
  <c r="AE8" i="7"/>
  <c r="AC43" i="8"/>
  <c r="AP12" i="3"/>
  <c r="BB9" i="3"/>
  <c r="BB42" i="3" s="1"/>
  <c r="AM42" i="4"/>
  <c r="AK10" i="6"/>
  <c r="AL18" i="4"/>
  <c r="AL10" i="4"/>
  <c r="AL10" i="6" s="1"/>
  <c r="AL12" i="6" s="1"/>
  <c r="AQ6" i="4"/>
  <c r="AQ9" i="6" s="1"/>
  <c r="AL21" i="3"/>
  <c r="AM20" i="3"/>
  <c r="AM11" i="4"/>
  <c r="AQ16" i="3"/>
  <c r="AQ31" i="4"/>
  <c r="AN18" i="3"/>
  <c r="AN29" i="4"/>
  <c r="AP37" i="4"/>
  <c r="AP39" i="4"/>
  <c r="AS39" i="1"/>
  <c r="AR35" i="4"/>
  <c r="AY22" i="4"/>
  <c r="AS6" i="1"/>
  <c r="AQ36" i="4"/>
  <c r="AQ68" i="4" s="1"/>
  <c r="AS38" i="1"/>
  <c r="AR34" i="4"/>
  <c r="AR24" i="4"/>
  <c r="AR26" i="4" s="1"/>
  <c r="AS31" i="1"/>
  <c r="AS33" i="3" s="1"/>
  <c r="AO8" i="3"/>
  <c r="AO10" i="3" s="1"/>
  <c r="AN15" i="4"/>
  <c r="AS24" i="1"/>
  <c r="AS14" i="4" s="1"/>
  <c r="AS19" i="1"/>
  <c r="AR9" i="4"/>
  <c r="AS18" i="1"/>
  <c r="AR8" i="4"/>
  <c r="AS22" i="1"/>
  <c r="AR12" i="4"/>
  <c r="AS17" i="1"/>
  <c r="AR7" i="4"/>
  <c r="AS9" i="1"/>
  <c r="AT7" i="1"/>
  <c r="AT14" i="3" s="1"/>
  <c r="AS30" i="4"/>
  <c r="AJ32" i="6" l="1"/>
  <c r="AJ33" i="6" s="1"/>
  <c r="AP45" i="3"/>
  <c r="AP51" i="3" s="1"/>
  <c r="BE23" i="4"/>
  <c r="AT32" i="1"/>
  <c r="AS25" i="4"/>
  <c r="AS27" i="4" s="1"/>
  <c r="AS24" i="3" s="1"/>
  <c r="AR7" i="3"/>
  <c r="BC42" i="3"/>
  <c r="AH37" i="6"/>
  <c r="AS49" i="3"/>
  <c r="AT15" i="3"/>
  <c r="AT48" i="3" s="1"/>
  <c r="AT47" i="3"/>
  <c r="AQ12" i="3"/>
  <c r="AQ40" i="3"/>
  <c r="AQ43" i="3" s="1"/>
  <c r="AR41" i="3" s="1"/>
  <c r="AL13" i="6"/>
  <c r="AL14" i="6" s="1"/>
  <c r="AQ27" i="3"/>
  <c r="AR25" i="3" s="1"/>
  <c r="AM7" i="6"/>
  <c r="AM52" i="3"/>
  <c r="AM53" i="3" s="1"/>
  <c r="AQ29" i="3"/>
  <c r="AQ35" i="3" s="1"/>
  <c r="AP37" i="3"/>
  <c r="BC8" i="1"/>
  <c r="BC31" i="3" s="1"/>
  <c r="BC32" i="3" s="1"/>
  <c r="AZ70" i="4"/>
  <c r="BB47" i="1"/>
  <c r="BA73" i="4"/>
  <c r="BA47" i="4"/>
  <c r="AY21" i="6"/>
  <c r="AR18" i="6"/>
  <c r="AR64" i="4"/>
  <c r="AT57" i="1"/>
  <c r="AS61" i="4"/>
  <c r="BB48" i="1"/>
  <c r="BA74" i="4"/>
  <c r="BA48" i="4"/>
  <c r="BN45" i="1"/>
  <c r="BM71" i="4"/>
  <c r="BM45" i="4"/>
  <c r="BM23" i="6"/>
  <c r="BC53" i="1"/>
  <c r="BB76" i="4"/>
  <c r="BB75" i="4" s="1"/>
  <c r="BB55" i="4"/>
  <c r="BB58" i="4" s="1"/>
  <c r="BB22" i="6" s="1"/>
  <c r="BM46" i="1"/>
  <c r="BL72" i="4"/>
  <c r="BL46" i="4"/>
  <c r="BO59" i="1"/>
  <c r="BN80" i="4"/>
  <c r="BN79" i="4" s="1"/>
  <c r="BN63" i="4"/>
  <c r="AZ49" i="4"/>
  <c r="AZ21" i="6" s="1"/>
  <c r="AI36" i="6"/>
  <c r="AI6" i="8" s="1"/>
  <c r="AI14" i="8" s="1"/>
  <c r="AI25" i="8" s="1"/>
  <c r="AI41" i="8" s="1"/>
  <c r="AP40" i="4"/>
  <c r="AP41" i="4" s="1"/>
  <c r="AP20" i="6" s="1"/>
  <c r="AP19" i="6" s="1"/>
  <c r="AP69" i="4"/>
  <c r="AP67" i="4" s="1"/>
  <c r="AM53" i="4"/>
  <c r="AM52" i="4"/>
  <c r="AK24" i="6"/>
  <c r="AN17" i="4"/>
  <c r="AN11" i="6" s="1"/>
  <c r="AN81" i="4"/>
  <c r="AN82" i="4" s="1"/>
  <c r="AL17" i="6"/>
  <c r="AL24" i="6" s="1"/>
  <c r="AL59" i="4"/>
  <c r="AN6" i="6"/>
  <c r="AM15" i="7"/>
  <c r="AM21" i="8" s="1"/>
  <c r="AK12" i="6"/>
  <c r="AH14" i="8"/>
  <c r="AH25" i="8" s="1"/>
  <c r="AH41" i="8" s="1"/>
  <c r="AF8" i="7"/>
  <c r="AE9" i="7"/>
  <c r="AE20" i="7" s="1"/>
  <c r="AO19" i="6"/>
  <c r="D32" i="9"/>
  <c r="E32" i="9" s="1"/>
  <c r="AC33" i="7"/>
  <c r="AC35" i="7" s="1"/>
  <c r="AC37" i="7" s="1"/>
  <c r="AC38" i="7" s="1"/>
  <c r="D46" i="8"/>
  <c r="AD42" i="8"/>
  <c r="AD43" i="8" s="1"/>
  <c r="AN42" i="4"/>
  <c r="AN32" i="4"/>
  <c r="AN16" i="6" s="1"/>
  <c r="AJ36" i="6"/>
  <c r="AM18" i="4"/>
  <c r="AM10" i="4"/>
  <c r="AR6" i="4"/>
  <c r="AR9" i="6" s="1"/>
  <c r="AM21" i="3"/>
  <c r="AN20" i="3"/>
  <c r="AR16" i="3"/>
  <c r="AR31" i="4"/>
  <c r="AO18" i="3"/>
  <c r="AO29" i="4"/>
  <c r="AN11" i="4"/>
  <c r="AQ37" i="4"/>
  <c r="AQ39" i="4"/>
  <c r="AT6" i="1"/>
  <c r="AZ22" i="4"/>
  <c r="AT39" i="1"/>
  <c r="AS35" i="4"/>
  <c r="AR36" i="4"/>
  <c r="AR68" i="4" s="1"/>
  <c r="AT38" i="1"/>
  <c r="AS34" i="4"/>
  <c r="AS24" i="4"/>
  <c r="AS26" i="4" s="1"/>
  <c r="AT31" i="1"/>
  <c r="AT33" i="3" s="1"/>
  <c r="AP8" i="3"/>
  <c r="AP10" i="3" s="1"/>
  <c r="AO15" i="4"/>
  <c r="AT19" i="1"/>
  <c r="AS9" i="4"/>
  <c r="AT22" i="1"/>
  <c r="AS12" i="4"/>
  <c r="AT17" i="1"/>
  <c r="AS7" i="4"/>
  <c r="AT18" i="1"/>
  <c r="AS8" i="4"/>
  <c r="AT24" i="1"/>
  <c r="AT14" i="4" s="1"/>
  <c r="AT9" i="1"/>
  <c r="AU7" i="1"/>
  <c r="AU14" i="3" s="1"/>
  <c r="AT30" i="4"/>
  <c r="AU32" i="1" l="1"/>
  <c r="AT25" i="4"/>
  <c r="AT27" i="4" s="1"/>
  <c r="AT24" i="3" s="1"/>
  <c r="BF23" i="4"/>
  <c r="AQ45" i="3"/>
  <c r="AQ51" i="3" s="1"/>
  <c r="BE26" i="3"/>
  <c r="AS7" i="3"/>
  <c r="AT49" i="3"/>
  <c r="AL26" i="6"/>
  <c r="AL27" i="6" s="1"/>
  <c r="BD9" i="3"/>
  <c r="AR40" i="3"/>
  <c r="AR43" i="3" s="1"/>
  <c r="AS41" i="3" s="1"/>
  <c r="AU15" i="3"/>
  <c r="AU48" i="3" s="1"/>
  <c r="AU47" i="3"/>
  <c r="AR27" i="3"/>
  <c r="AS25" i="3" s="1"/>
  <c r="AR12" i="3"/>
  <c r="AQ37" i="3"/>
  <c r="AQ38" i="3" s="1"/>
  <c r="AR29" i="3"/>
  <c r="AR35" i="3" s="1"/>
  <c r="AN7" i="6"/>
  <c r="AN52" i="3"/>
  <c r="BD26" i="3"/>
  <c r="AP38" i="3"/>
  <c r="BD8" i="1"/>
  <c r="AI37" i="6"/>
  <c r="BN46" i="1"/>
  <c r="BM72" i="4"/>
  <c r="BM46" i="4"/>
  <c r="BC47" i="1"/>
  <c r="BB73" i="4"/>
  <c r="BB47" i="4"/>
  <c r="BO45" i="1"/>
  <c r="BN71" i="4"/>
  <c r="BN45" i="4"/>
  <c r="BN23" i="6"/>
  <c r="BD53" i="1"/>
  <c r="BC76" i="4"/>
  <c r="BC75" i="4" s="1"/>
  <c r="BC55" i="4"/>
  <c r="BP59" i="1"/>
  <c r="BO80" i="4"/>
  <c r="BO79" i="4" s="1"/>
  <c r="BO63" i="4"/>
  <c r="BC48" i="1"/>
  <c r="BB74" i="4"/>
  <c r="BB48" i="4"/>
  <c r="AS18" i="6"/>
  <c r="AS64" i="4"/>
  <c r="BA49" i="4"/>
  <c r="BA21" i="6" s="1"/>
  <c r="AU57" i="1"/>
  <c r="AT61" i="4"/>
  <c r="BA70" i="4"/>
  <c r="AQ40" i="4"/>
  <c r="AQ41" i="4" s="1"/>
  <c r="AQ20" i="6" s="1"/>
  <c r="AQ19" i="6" s="1"/>
  <c r="AQ69" i="4"/>
  <c r="AQ67" i="4" s="1"/>
  <c r="AN53" i="4"/>
  <c r="AN52" i="4"/>
  <c r="AO17" i="4"/>
  <c r="AO11" i="6" s="1"/>
  <c r="AO81" i="4"/>
  <c r="AO82" i="4" s="1"/>
  <c r="AM17" i="6"/>
  <c r="AM59" i="4"/>
  <c r="AO6" i="6"/>
  <c r="AM15" i="8"/>
  <c r="AN15" i="7"/>
  <c r="AN21" i="8" s="1"/>
  <c r="AN15" i="8" s="1"/>
  <c r="AJ6" i="8"/>
  <c r="AJ37" i="6"/>
  <c r="AE42" i="8"/>
  <c r="AE43" i="8" s="1"/>
  <c r="AD33" i="7"/>
  <c r="AD35" i="7" s="1"/>
  <c r="AD37" i="7" s="1"/>
  <c r="AD38" i="7" s="1"/>
  <c r="AG8" i="7"/>
  <c r="AF9" i="7"/>
  <c r="AF20" i="7" s="1"/>
  <c r="AK13" i="6"/>
  <c r="AO42" i="4"/>
  <c r="AO32" i="4"/>
  <c r="AO16" i="6" s="1"/>
  <c r="AM10" i="6"/>
  <c r="AN18" i="4"/>
  <c r="AN10" i="4"/>
  <c r="AN10" i="6" s="1"/>
  <c r="AN12" i="6" s="1"/>
  <c r="AS6" i="4"/>
  <c r="AS9" i="6" s="1"/>
  <c r="AN21" i="3"/>
  <c r="AO20" i="3"/>
  <c r="AO11" i="4"/>
  <c r="AP18" i="3"/>
  <c r="AP29" i="4"/>
  <c r="AS16" i="3"/>
  <c r="AS31" i="4"/>
  <c r="AR37" i="4"/>
  <c r="AR39" i="4"/>
  <c r="AU39" i="1"/>
  <c r="AT35" i="4"/>
  <c r="BA22" i="4"/>
  <c r="AU6" i="1"/>
  <c r="AS36" i="4"/>
  <c r="AS68" i="4" s="1"/>
  <c r="AU38" i="1"/>
  <c r="AT34" i="4"/>
  <c r="AT24" i="4"/>
  <c r="AT26" i="4" s="1"/>
  <c r="AU31" i="1"/>
  <c r="AU33" i="3" s="1"/>
  <c r="AQ8" i="3"/>
  <c r="AQ10" i="3" s="1"/>
  <c r="AP15" i="4"/>
  <c r="AU18" i="1"/>
  <c r="AT8" i="4"/>
  <c r="AU17" i="1"/>
  <c r="AT7" i="4"/>
  <c r="AU19" i="1"/>
  <c r="AT9" i="4"/>
  <c r="AU22" i="1"/>
  <c r="AT12" i="4"/>
  <c r="AU24" i="1"/>
  <c r="AU14" i="4" s="1"/>
  <c r="AU9" i="1"/>
  <c r="AV7" i="1"/>
  <c r="AV14" i="3" s="1"/>
  <c r="AU30" i="4"/>
  <c r="AL32" i="6" l="1"/>
  <c r="AL33" i="6" s="1"/>
  <c r="BG23" i="4"/>
  <c r="AV32" i="1"/>
  <c r="AU25" i="4"/>
  <c r="AU27" i="4" s="1"/>
  <c r="AU24" i="3" s="1"/>
  <c r="BF26" i="3"/>
  <c r="AT7" i="3"/>
  <c r="AR45" i="3"/>
  <c r="AR51" i="3" s="1"/>
  <c r="BD31" i="3"/>
  <c r="BD32" i="3" s="1"/>
  <c r="AU49" i="3"/>
  <c r="AV15" i="3"/>
  <c r="AV48" i="3" s="1"/>
  <c r="AV47" i="3"/>
  <c r="AS27" i="3"/>
  <c r="AT25" i="3" s="1"/>
  <c r="BD42" i="3"/>
  <c r="BE9" i="3"/>
  <c r="BE42" i="3" s="1"/>
  <c r="AS40" i="3"/>
  <c r="AS43" i="3" s="1"/>
  <c r="AT41" i="3" s="1"/>
  <c r="AR37" i="3"/>
  <c r="AN13" i="6"/>
  <c r="AN14" i="6" s="1"/>
  <c r="AN53" i="3"/>
  <c r="BE31" i="3"/>
  <c r="BE32" i="3" s="1"/>
  <c r="AS29" i="3"/>
  <c r="AS35" i="3" s="1"/>
  <c r="AS12" i="3"/>
  <c r="AO7" i="6"/>
  <c r="AO52" i="3"/>
  <c r="AO53" i="3" s="1"/>
  <c r="BE8" i="1"/>
  <c r="BB70" i="4"/>
  <c r="BD48" i="1"/>
  <c r="BC74" i="4"/>
  <c r="BC48" i="4"/>
  <c r="BB49" i="4"/>
  <c r="BB21" i="6" s="1"/>
  <c r="BO23" i="6"/>
  <c r="BD47" i="1"/>
  <c r="BC73" i="4"/>
  <c r="BC47" i="4"/>
  <c r="BQ59" i="1"/>
  <c r="BP80" i="4"/>
  <c r="BP79" i="4" s="1"/>
  <c r="BP63" i="4"/>
  <c r="BC58" i="4"/>
  <c r="AT18" i="6"/>
  <c r="AT64" i="4"/>
  <c r="AV57" i="1"/>
  <c r="AU61" i="4"/>
  <c r="BE53" i="1"/>
  <c r="BD76" i="4"/>
  <c r="BD75" i="4" s="1"/>
  <c r="BD55" i="4"/>
  <c r="BD58" i="4" s="1"/>
  <c r="BD22" i="6" s="1"/>
  <c r="BO46" i="1"/>
  <c r="BN72" i="4"/>
  <c r="BN46" i="4"/>
  <c r="BP45" i="1"/>
  <c r="BO71" i="4"/>
  <c r="BO45" i="4"/>
  <c r="AR40" i="4"/>
  <c r="AR41" i="4" s="1"/>
  <c r="AR20" i="6" s="1"/>
  <c r="AR19" i="6" s="1"/>
  <c r="AR69" i="4"/>
  <c r="AR67" i="4" s="1"/>
  <c r="AM24" i="6"/>
  <c r="AO52" i="4"/>
  <c r="AO53" i="4"/>
  <c r="AP17" i="4"/>
  <c r="AP11" i="6" s="1"/>
  <c r="AP81" i="4"/>
  <c r="AP82" i="4" s="1"/>
  <c r="AN17" i="6"/>
  <c r="AN24" i="6" s="1"/>
  <c r="AN59" i="4"/>
  <c r="AP6" i="6"/>
  <c r="AO15" i="7"/>
  <c r="AO21" i="8" s="1"/>
  <c r="AG9" i="7"/>
  <c r="AG20" i="7" s="1"/>
  <c r="AH8" i="7"/>
  <c r="AF42" i="8"/>
  <c r="AF43" i="8" s="1"/>
  <c r="AE33" i="7"/>
  <c r="AE35" i="7" s="1"/>
  <c r="AE37" i="7" s="1"/>
  <c r="AE38" i="7" s="1"/>
  <c r="AK26" i="6"/>
  <c r="AK14" i="6"/>
  <c r="AJ14" i="8"/>
  <c r="AJ25" i="8" s="1"/>
  <c r="AJ41" i="8" s="1"/>
  <c r="BW6" i="8"/>
  <c r="BW14" i="8" s="1"/>
  <c r="AM12" i="6"/>
  <c r="AP42" i="4"/>
  <c r="AP32" i="4"/>
  <c r="AP16" i="6" s="1"/>
  <c r="AL36" i="6"/>
  <c r="AO18" i="4"/>
  <c r="AO10" i="4"/>
  <c r="AT6" i="4"/>
  <c r="AT9" i="6" s="1"/>
  <c r="AO21" i="3"/>
  <c r="AP20" i="3"/>
  <c r="AP11" i="4"/>
  <c r="AP10" i="4" s="1"/>
  <c r="AP10" i="6" s="1"/>
  <c r="AQ18" i="3"/>
  <c r="AQ29" i="4"/>
  <c r="AT16" i="3"/>
  <c r="AT31" i="4"/>
  <c r="AS37" i="4"/>
  <c r="AS39" i="4"/>
  <c r="BB22" i="4"/>
  <c r="AV6" i="1"/>
  <c r="AV39" i="1"/>
  <c r="AU35" i="4"/>
  <c r="AT36" i="4"/>
  <c r="AT68" i="4" s="1"/>
  <c r="AV38" i="1"/>
  <c r="AU34" i="4"/>
  <c r="AR8" i="3"/>
  <c r="AR10" i="3" s="1"/>
  <c r="AQ15" i="4"/>
  <c r="AV31" i="1"/>
  <c r="AV33" i="3" s="1"/>
  <c r="AU24" i="4"/>
  <c r="AU26" i="4" s="1"/>
  <c r="AV19" i="1"/>
  <c r="AU9" i="4"/>
  <c r="AV17" i="1"/>
  <c r="AU7" i="4"/>
  <c r="AV22" i="1"/>
  <c r="AU12" i="4"/>
  <c r="AV24" i="1"/>
  <c r="AV14" i="4" s="1"/>
  <c r="AV18" i="1"/>
  <c r="AU8" i="4"/>
  <c r="AV9" i="1"/>
  <c r="AW7" i="1"/>
  <c r="AW14" i="3" s="1"/>
  <c r="AW47" i="3" s="1"/>
  <c r="AV30" i="4"/>
  <c r="AV49" i="3" l="1"/>
  <c r="AW32" i="1"/>
  <c r="AV25" i="4"/>
  <c r="AV27" i="4" s="1"/>
  <c r="AV24" i="3" s="1"/>
  <c r="BH23" i="4"/>
  <c r="AU7" i="3"/>
  <c r="AS45" i="3"/>
  <c r="AS51" i="3" s="1"/>
  <c r="BF9" i="3"/>
  <c r="BF42" i="3" s="1"/>
  <c r="AT40" i="3"/>
  <c r="AT43" i="3" s="1"/>
  <c r="AU41" i="3" s="1"/>
  <c r="AN26" i="6"/>
  <c r="AN27" i="6" s="1"/>
  <c r="AT12" i="3"/>
  <c r="AT27" i="3"/>
  <c r="AU25" i="3" s="1"/>
  <c r="AT29" i="3"/>
  <c r="AT35" i="3" s="1"/>
  <c r="AS37" i="3"/>
  <c r="AS38" i="3" s="1"/>
  <c r="AR38" i="3"/>
  <c r="AP7" i="6"/>
  <c r="AP52" i="3"/>
  <c r="AP53" i="3" s="1"/>
  <c r="BF8" i="1"/>
  <c r="BF31" i="3" s="1"/>
  <c r="BF32" i="3" s="1"/>
  <c r="BG26" i="3"/>
  <c r="BC70" i="4"/>
  <c r="BC49" i="4"/>
  <c r="BE47" i="1"/>
  <c r="BD73" i="4"/>
  <c r="BD47" i="4"/>
  <c r="BF53" i="1"/>
  <c r="BE76" i="4"/>
  <c r="BE75" i="4" s="1"/>
  <c r="BE55" i="4"/>
  <c r="BE58" i="4" s="1"/>
  <c r="BE22" i="6" s="1"/>
  <c r="BC22" i="6"/>
  <c r="BQ45" i="1"/>
  <c r="BP71" i="4"/>
  <c r="BP45" i="4"/>
  <c r="AU18" i="6"/>
  <c r="AU64" i="4"/>
  <c r="BE48" i="1"/>
  <c r="BD74" i="4"/>
  <c r="BD48" i="4"/>
  <c r="AW57" i="1"/>
  <c r="AV61" i="4"/>
  <c r="BP23" i="6"/>
  <c r="BP46" i="1"/>
  <c r="BO72" i="4"/>
  <c r="BO46" i="4"/>
  <c r="BR59" i="1"/>
  <c r="BQ80" i="4"/>
  <c r="BQ79" i="4" s="1"/>
  <c r="BQ63" i="4"/>
  <c r="AS40" i="4"/>
  <c r="AS41" i="4" s="1"/>
  <c r="AS20" i="6" s="1"/>
  <c r="AS19" i="6" s="1"/>
  <c r="AS69" i="4"/>
  <c r="AS67" i="4" s="1"/>
  <c r="AP52" i="4"/>
  <c r="AP53" i="4"/>
  <c r="AO17" i="6"/>
  <c r="AO24" i="6" s="1"/>
  <c r="AO59" i="4"/>
  <c r="AQ17" i="4"/>
  <c r="AQ11" i="6" s="1"/>
  <c r="AQ81" i="4"/>
  <c r="AQ82" i="4" s="1"/>
  <c r="AP12" i="6"/>
  <c r="AO15" i="8"/>
  <c r="AQ6" i="6"/>
  <c r="AP15" i="7"/>
  <c r="AK27" i="6"/>
  <c r="AK32" i="6"/>
  <c r="AG42" i="8"/>
  <c r="AG43" i="8" s="1"/>
  <c r="AF33" i="7"/>
  <c r="AF35" i="7" s="1"/>
  <c r="AF37" i="7" s="1"/>
  <c r="AF38" i="7" s="1"/>
  <c r="AI8" i="7"/>
  <c r="AH9" i="7"/>
  <c r="AH20" i="7" s="1"/>
  <c r="AL37" i="6"/>
  <c r="AL6" i="8"/>
  <c r="AL14" i="8" s="1"/>
  <c r="AL25" i="8" s="1"/>
  <c r="AL41" i="8" s="1"/>
  <c r="AM13" i="6"/>
  <c r="AQ42" i="4"/>
  <c r="AQ32" i="4"/>
  <c r="AQ16" i="6" s="1"/>
  <c r="AP18" i="4"/>
  <c r="AO10" i="6"/>
  <c r="AU6" i="4"/>
  <c r="AU9" i="6" s="1"/>
  <c r="AP21" i="3"/>
  <c r="AW15" i="3"/>
  <c r="AW48" i="3" s="1"/>
  <c r="AW49" i="3" s="1"/>
  <c r="AQ11" i="4"/>
  <c r="AQ20" i="3"/>
  <c r="AU16" i="3"/>
  <c r="AU31" i="4"/>
  <c r="AR18" i="3"/>
  <c r="AR29" i="4"/>
  <c r="AT37" i="4"/>
  <c r="AT39" i="4"/>
  <c r="AW39" i="1"/>
  <c r="AV35" i="4"/>
  <c r="AW6" i="1"/>
  <c r="BC22" i="4"/>
  <c r="AU36" i="4"/>
  <c r="AU68" i="4" s="1"/>
  <c r="AW38" i="1"/>
  <c r="AV34" i="4"/>
  <c r="AV24" i="4"/>
  <c r="AV26" i="4" s="1"/>
  <c r="AW31" i="1"/>
  <c r="AW33" i="3" s="1"/>
  <c r="AS8" i="3"/>
  <c r="AS10" i="3" s="1"/>
  <c r="AR15" i="4"/>
  <c r="AW24" i="1"/>
  <c r="AW14" i="4" s="1"/>
  <c r="AW22" i="1"/>
  <c r="AV12" i="4"/>
  <c r="AW17" i="1"/>
  <c r="AV7" i="4"/>
  <c r="AW18" i="1"/>
  <c r="AV8" i="4"/>
  <c r="AW19" i="1"/>
  <c r="AV9" i="4"/>
  <c r="AW9" i="1"/>
  <c r="AX7" i="1"/>
  <c r="AX14" i="3" s="1"/>
  <c r="AW30" i="4"/>
  <c r="BI23" i="4" l="1"/>
  <c r="AX32" i="1"/>
  <c r="AW25" i="4"/>
  <c r="AW27" i="4" s="1"/>
  <c r="AW24" i="3" s="1"/>
  <c r="AV7" i="3"/>
  <c r="AT45" i="3"/>
  <c r="AT51" i="3" s="1"/>
  <c r="AX15" i="3"/>
  <c r="AX48" i="3" s="1"/>
  <c r="AX47" i="3"/>
  <c r="BG9" i="3"/>
  <c r="BG42" i="3" s="1"/>
  <c r="AU40" i="3"/>
  <c r="AU43" i="3" s="1"/>
  <c r="AV41" i="3" s="1"/>
  <c r="AN32" i="6"/>
  <c r="AN33" i="6" s="1"/>
  <c r="AU27" i="3"/>
  <c r="AV25" i="3" s="1"/>
  <c r="AP13" i="6"/>
  <c r="AP14" i="6" s="1"/>
  <c r="AQ7" i="6"/>
  <c r="AQ52" i="3"/>
  <c r="AQ53" i="3" s="1"/>
  <c r="AU12" i="3"/>
  <c r="AU29" i="3"/>
  <c r="AU35" i="3" s="1"/>
  <c r="AT37" i="3"/>
  <c r="AT38" i="3" s="1"/>
  <c r="BG8" i="1"/>
  <c r="BG31" i="3" s="1"/>
  <c r="BG32" i="3" s="1"/>
  <c r="BF48" i="1"/>
  <c r="BE74" i="4"/>
  <c r="BE48" i="4"/>
  <c r="BQ46" i="1"/>
  <c r="BP72" i="4"/>
  <c r="BP46" i="4"/>
  <c r="BQ23" i="6"/>
  <c r="AV18" i="6"/>
  <c r="AV64" i="4"/>
  <c r="BD49" i="4"/>
  <c r="BD21" i="6" s="1"/>
  <c r="BG53" i="1"/>
  <c r="BF76" i="4"/>
  <c r="BF75" i="4" s="1"/>
  <c r="BF55" i="4"/>
  <c r="BF58" i="4" s="1"/>
  <c r="BF22" i="6" s="1"/>
  <c r="AX57" i="1"/>
  <c r="AW61" i="4"/>
  <c r="BR45" i="1"/>
  <c r="BQ71" i="4"/>
  <c r="BQ45" i="4"/>
  <c r="BD70" i="4"/>
  <c r="BC21" i="6"/>
  <c r="BS59" i="1"/>
  <c r="BR80" i="4"/>
  <c r="BR79" i="4" s="1"/>
  <c r="BR63" i="4"/>
  <c r="BF47" i="1"/>
  <c r="BE73" i="4"/>
  <c r="BE47" i="4"/>
  <c r="AT40" i="4"/>
  <c r="AT41" i="4" s="1"/>
  <c r="AT20" i="6" s="1"/>
  <c r="AT19" i="6" s="1"/>
  <c r="AT69" i="4"/>
  <c r="AT67" i="4" s="1"/>
  <c r="AR17" i="4"/>
  <c r="AR11" i="6" s="1"/>
  <c r="AR81" i="4"/>
  <c r="AR82" i="4" s="1"/>
  <c r="AQ52" i="4"/>
  <c r="AQ53" i="4"/>
  <c r="AP17" i="6"/>
  <c r="AP24" i="6" s="1"/>
  <c r="AP59" i="4"/>
  <c r="AP21" i="8"/>
  <c r="AR6" i="6"/>
  <c r="AQ15" i="7"/>
  <c r="AO12" i="6"/>
  <c r="AH42" i="8"/>
  <c r="AH43" i="8" s="1"/>
  <c r="AG33" i="7"/>
  <c r="AG35" i="7" s="1"/>
  <c r="AG37" i="7" s="1"/>
  <c r="AG38" i="7" s="1"/>
  <c r="AK33" i="6"/>
  <c r="AK36" i="6"/>
  <c r="AJ8" i="7"/>
  <c r="AI9" i="7"/>
  <c r="AI20" i="7" s="1"/>
  <c r="AM26" i="6"/>
  <c r="AM14" i="6"/>
  <c r="AR42" i="4"/>
  <c r="AR32" i="4"/>
  <c r="AR16" i="6" s="1"/>
  <c r="AQ18" i="4"/>
  <c r="AQ10" i="4"/>
  <c r="AV6" i="4"/>
  <c r="AV9" i="6" s="1"/>
  <c r="AQ21" i="3"/>
  <c r="AR20" i="3"/>
  <c r="AR11" i="4"/>
  <c r="AS18" i="3"/>
  <c r="AS29" i="4"/>
  <c r="AV16" i="3"/>
  <c r="AV31" i="4"/>
  <c r="AU37" i="4"/>
  <c r="AU39" i="4"/>
  <c r="BD22" i="4"/>
  <c r="AX6" i="1"/>
  <c r="AX39" i="1"/>
  <c r="AW35" i="4"/>
  <c r="AV36" i="4"/>
  <c r="AV68" i="4" s="1"/>
  <c r="AX38" i="1"/>
  <c r="AW34" i="4"/>
  <c r="AT8" i="3"/>
  <c r="AT10" i="3" s="1"/>
  <c r="AS15" i="4"/>
  <c r="AX31" i="1"/>
  <c r="AX33" i="3" s="1"/>
  <c r="AW24" i="4"/>
  <c r="AW26" i="4" s="1"/>
  <c r="AX18" i="1"/>
  <c r="AW8" i="4"/>
  <c r="AX17" i="1"/>
  <c r="AW7" i="4"/>
  <c r="AX22" i="1"/>
  <c r="AW12" i="4"/>
  <c r="AX19" i="1"/>
  <c r="AW9" i="4"/>
  <c r="AX24" i="1"/>
  <c r="AX14" i="4" s="1"/>
  <c r="AX9" i="1"/>
  <c r="AY7" i="1"/>
  <c r="AY14" i="3" s="1"/>
  <c r="AX30" i="4"/>
  <c r="AY32" i="1" l="1"/>
  <c r="AX25" i="4"/>
  <c r="AX27" i="4" s="1"/>
  <c r="AX24" i="3" s="1"/>
  <c r="BJ23" i="4"/>
  <c r="AX49" i="3"/>
  <c r="AW7" i="3"/>
  <c r="AP26" i="6"/>
  <c r="AP27" i="6" s="1"/>
  <c r="AU45" i="3"/>
  <c r="AU51" i="3" s="1"/>
  <c r="AY15" i="3"/>
  <c r="AY48" i="3" s="1"/>
  <c r="AY47" i="3"/>
  <c r="AN36" i="6"/>
  <c r="AN37" i="6" s="1"/>
  <c r="BH9" i="3"/>
  <c r="AV40" i="3"/>
  <c r="AV43" i="3" s="1"/>
  <c r="AW41" i="3" s="1"/>
  <c r="AV27" i="3"/>
  <c r="AW25" i="3" s="1"/>
  <c r="AV12" i="3"/>
  <c r="BH26" i="3"/>
  <c r="AU37" i="3"/>
  <c r="AU38" i="3" s="1"/>
  <c r="AV29" i="3"/>
  <c r="AV35" i="3" s="1"/>
  <c r="AR7" i="6"/>
  <c r="AR52" i="3"/>
  <c r="AR53" i="3" s="1"/>
  <c r="BH8" i="1"/>
  <c r="BE49" i="4"/>
  <c r="BE21" i="6" s="1"/>
  <c r="BE70" i="4"/>
  <c r="BR46" i="1"/>
  <c r="BQ72" i="4"/>
  <c r="BQ46" i="4"/>
  <c r="BH53" i="1"/>
  <c r="BG76" i="4"/>
  <c r="BG75" i="4" s="1"/>
  <c r="BG55" i="4"/>
  <c r="BG58" i="4" s="1"/>
  <c r="BG22" i="6" s="1"/>
  <c r="BR23" i="6"/>
  <c r="BS45" i="1"/>
  <c r="BR71" i="4"/>
  <c r="BR45" i="4"/>
  <c r="BG48" i="1"/>
  <c r="BF74" i="4"/>
  <c r="BF48" i="4"/>
  <c r="BG47" i="1"/>
  <c r="BF73" i="4"/>
  <c r="BF47" i="4"/>
  <c r="BT59" i="1"/>
  <c r="BS80" i="4"/>
  <c r="BS79" i="4" s="1"/>
  <c r="BS63" i="4"/>
  <c r="AW18" i="6"/>
  <c r="AW64" i="4"/>
  <c r="AY57" i="1"/>
  <c r="AX61" i="4"/>
  <c r="AU40" i="4"/>
  <c r="AU41" i="4" s="1"/>
  <c r="AU20" i="6" s="1"/>
  <c r="AU19" i="6" s="1"/>
  <c r="AU69" i="4"/>
  <c r="AU67" i="4" s="1"/>
  <c r="AQ17" i="6"/>
  <c r="AQ24" i="6" s="1"/>
  <c r="AQ59" i="4"/>
  <c r="AS17" i="4"/>
  <c r="AS11" i="6" s="1"/>
  <c r="AS81" i="4"/>
  <c r="AS82" i="4" s="1"/>
  <c r="AR53" i="4"/>
  <c r="AR52" i="4"/>
  <c r="AR15" i="7"/>
  <c r="AR21" i="8" s="1"/>
  <c r="AR15" i="8" s="1"/>
  <c r="AS6" i="6"/>
  <c r="AP15" i="8"/>
  <c r="AQ21" i="8"/>
  <c r="AQ15" i="8" s="1"/>
  <c r="AM27" i="6"/>
  <c r="AM32" i="6"/>
  <c r="AO13" i="6"/>
  <c r="AI42" i="8"/>
  <c r="AI43" i="8" s="1"/>
  <c r="AH33" i="7"/>
  <c r="AH35" i="7" s="1"/>
  <c r="AH37" i="7" s="1"/>
  <c r="AH38" i="7" s="1"/>
  <c r="AJ9" i="7"/>
  <c r="AK8" i="7"/>
  <c r="BW8" i="7"/>
  <c r="AK6" i="8"/>
  <c r="AK14" i="8" s="1"/>
  <c r="AK25" i="8" s="1"/>
  <c r="AK41" i="8" s="1"/>
  <c r="AK37" i="6"/>
  <c r="AS42" i="4"/>
  <c r="AS32" i="4"/>
  <c r="AS16" i="6" s="1"/>
  <c r="AR18" i="4"/>
  <c r="AR10" i="4"/>
  <c r="AR10" i="6" s="1"/>
  <c r="AR12" i="6" s="1"/>
  <c r="AQ10" i="6"/>
  <c r="AW6" i="4"/>
  <c r="AR21" i="3"/>
  <c r="AS11" i="4"/>
  <c r="AS20" i="3"/>
  <c r="AT18" i="3"/>
  <c r="AT29" i="4"/>
  <c r="AW16" i="3"/>
  <c r="AW31" i="4"/>
  <c r="AV37" i="4"/>
  <c r="AV39" i="4"/>
  <c r="AY6" i="1"/>
  <c r="BE22" i="4"/>
  <c r="AY39" i="1"/>
  <c r="AX35" i="4"/>
  <c r="AW36" i="4"/>
  <c r="AW68" i="4" s="1"/>
  <c r="AY38" i="1"/>
  <c r="AX34" i="4"/>
  <c r="AU8" i="3"/>
  <c r="AU10" i="3" s="1"/>
  <c r="AT15" i="4"/>
  <c r="AX24" i="4"/>
  <c r="AX26" i="4" s="1"/>
  <c r="AY31" i="1"/>
  <c r="AY33" i="3" s="1"/>
  <c r="AY19" i="1"/>
  <c r="AX9" i="4"/>
  <c r="AY22" i="1"/>
  <c r="AX12" i="4"/>
  <c r="AY17" i="1"/>
  <c r="AX7" i="4"/>
  <c r="AY24" i="1"/>
  <c r="AY14" i="4" s="1"/>
  <c r="AY18" i="1"/>
  <c r="AX8" i="4"/>
  <c r="AY9" i="1"/>
  <c r="AZ7" i="1"/>
  <c r="AZ14" i="3" s="1"/>
  <c r="AY30" i="4"/>
  <c r="BK23" i="4" l="1"/>
  <c r="AZ32" i="1"/>
  <c r="AY25" i="4"/>
  <c r="AY27" i="4" s="1"/>
  <c r="AY24" i="3" s="1"/>
  <c r="AP32" i="6"/>
  <c r="AP33" i="6" s="1"/>
  <c r="BH42" i="3"/>
  <c r="AX7" i="3"/>
  <c r="AY49" i="3"/>
  <c r="BH31" i="3"/>
  <c r="BH32" i="3" s="1"/>
  <c r="AN6" i="8"/>
  <c r="AN14" i="8" s="1"/>
  <c r="AN25" i="8" s="1"/>
  <c r="AN41" i="8" s="1"/>
  <c r="AW12" i="3"/>
  <c r="AW40" i="3"/>
  <c r="AW43" i="3" s="1"/>
  <c r="AX41" i="3" s="1"/>
  <c r="AZ15" i="3"/>
  <c r="AZ48" i="3" s="1"/>
  <c r="AZ47" i="3"/>
  <c r="AW27" i="3"/>
  <c r="AX25" i="3" s="1"/>
  <c r="AV45" i="3"/>
  <c r="AV51" i="3" s="1"/>
  <c r="AR13" i="6"/>
  <c r="AR14" i="6" s="1"/>
  <c r="BI26" i="3"/>
  <c r="BI31" i="3" s="1"/>
  <c r="BI32" i="3" s="1"/>
  <c r="AS7" i="6"/>
  <c r="AS52" i="3"/>
  <c r="AS53" i="3" s="1"/>
  <c r="AV37" i="3"/>
  <c r="AV38" i="3" s="1"/>
  <c r="AW29" i="3"/>
  <c r="AW35" i="3" s="1"/>
  <c r="BI8" i="1"/>
  <c r="BF70" i="4"/>
  <c r="AZ57" i="1"/>
  <c r="AY61" i="4"/>
  <c r="BI53" i="1"/>
  <c r="BH76" i="4"/>
  <c r="BH75" i="4" s="1"/>
  <c r="BH55" i="4"/>
  <c r="BH58" i="4" s="1"/>
  <c r="BH22" i="6" s="1"/>
  <c r="BH47" i="1"/>
  <c r="BG73" i="4"/>
  <c r="BG47" i="4"/>
  <c r="BT45" i="1"/>
  <c r="BS71" i="4"/>
  <c r="BS45" i="4"/>
  <c r="BS23" i="6"/>
  <c r="BH48" i="1"/>
  <c r="BG74" i="4"/>
  <c r="BG48" i="4"/>
  <c r="BT80" i="4"/>
  <c r="BT79" i="4" s="1"/>
  <c r="BT63" i="4"/>
  <c r="BS46" i="1"/>
  <c r="BR72" i="4"/>
  <c r="BR46" i="4"/>
  <c r="AX18" i="6"/>
  <c r="AX64" i="4"/>
  <c r="BF49" i="4"/>
  <c r="BF21" i="6" s="1"/>
  <c r="AV40" i="4"/>
  <c r="AV41" i="4" s="1"/>
  <c r="AV20" i="6" s="1"/>
  <c r="AV19" i="6" s="1"/>
  <c r="AV69" i="4"/>
  <c r="AV67" i="4" s="1"/>
  <c r="AS52" i="4"/>
  <c r="AS53" i="4"/>
  <c r="AT17" i="4"/>
  <c r="AT11" i="6" s="1"/>
  <c r="AT81" i="4"/>
  <c r="AT82" i="4" s="1"/>
  <c r="AR17" i="6"/>
  <c r="AR24" i="6" s="1"/>
  <c r="AR59" i="4"/>
  <c r="AT6" i="6"/>
  <c r="AS15" i="7"/>
  <c r="AS21" i="8" s="1"/>
  <c r="AQ12" i="6"/>
  <c r="AK9" i="7"/>
  <c r="AK20" i="7" s="1"/>
  <c r="AL8" i="7"/>
  <c r="AO26" i="6"/>
  <c r="AO14" i="6"/>
  <c r="AI33" i="7"/>
  <c r="AI35" i="7" s="1"/>
  <c r="AI37" i="7" s="1"/>
  <c r="AI38" i="7" s="1"/>
  <c r="AJ42" i="8"/>
  <c r="AJ43" i="8" s="1"/>
  <c r="D47" i="8"/>
  <c r="AJ20" i="7"/>
  <c r="BW9" i="7"/>
  <c r="BW20" i="7" s="1"/>
  <c r="AM33" i="6"/>
  <c r="AM36" i="6"/>
  <c r="AT42" i="4"/>
  <c r="AT32" i="4"/>
  <c r="AT16" i="6" s="1"/>
  <c r="AS18" i="4"/>
  <c r="AS10" i="4"/>
  <c r="AS10" i="6" s="1"/>
  <c r="AS12" i="6" s="1"/>
  <c r="BI9" i="3"/>
  <c r="AW9" i="6"/>
  <c r="AX6" i="4"/>
  <c r="AX9" i="6" s="1"/>
  <c r="AS21" i="3"/>
  <c r="AT11" i="4"/>
  <c r="AT20" i="3"/>
  <c r="AX16" i="3"/>
  <c r="AX31" i="4"/>
  <c r="AU18" i="3"/>
  <c r="AU29" i="4"/>
  <c r="AW37" i="4"/>
  <c r="AW39" i="4"/>
  <c r="AZ39" i="1"/>
  <c r="AY35" i="4"/>
  <c r="BF22" i="4"/>
  <c r="AZ6" i="1"/>
  <c r="AX36" i="4"/>
  <c r="AX68" i="4" s="1"/>
  <c r="AZ38" i="1"/>
  <c r="AY34" i="4"/>
  <c r="AV8" i="3"/>
  <c r="AV10" i="3" s="1"/>
  <c r="AU15" i="4"/>
  <c r="AY24" i="4"/>
  <c r="AY26" i="4" s="1"/>
  <c r="AZ31" i="1"/>
  <c r="AZ33" i="3" s="1"/>
  <c r="AZ24" i="1"/>
  <c r="AZ14" i="4" s="1"/>
  <c r="AZ17" i="1"/>
  <c r="AY7" i="4"/>
  <c r="AZ22" i="1"/>
  <c r="AY12" i="4"/>
  <c r="AZ18" i="1"/>
  <c r="AY8" i="4"/>
  <c r="AZ19" i="1"/>
  <c r="AY9" i="4"/>
  <c r="AZ9" i="1"/>
  <c r="BA7" i="1"/>
  <c r="BA14" i="3" s="1"/>
  <c r="BA47" i="3" s="1"/>
  <c r="AZ30" i="4"/>
  <c r="BA32" i="1" l="1"/>
  <c r="AZ25" i="4"/>
  <c r="AZ27" i="4" s="1"/>
  <c r="AZ24" i="3" s="1"/>
  <c r="BL23" i="4"/>
  <c r="AP36" i="6"/>
  <c r="AP37" i="6" s="1"/>
  <c r="AR26" i="6"/>
  <c r="AR27" i="6" s="1"/>
  <c r="AY7" i="3"/>
  <c r="AZ49" i="3"/>
  <c r="BI42" i="3"/>
  <c r="AW45" i="3"/>
  <c r="AW51" i="3" s="1"/>
  <c r="AX27" i="3"/>
  <c r="AY25" i="3" s="1"/>
  <c r="BJ9" i="3"/>
  <c r="AX40" i="3"/>
  <c r="AX43" i="3" s="1"/>
  <c r="AY41" i="3" s="1"/>
  <c r="AS13" i="6"/>
  <c r="AS14" i="6" s="1"/>
  <c r="AX12" i="3"/>
  <c r="AX29" i="3"/>
  <c r="AX35" i="3" s="1"/>
  <c r="AW37" i="3"/>
  <c r="BJ26" i="3"/>
  <c r="AT7" i="6"/>
  <c r="AT52" i="3"/>
  <c r="AT53" i="3" s="1"/>
  <c r="BJ8" i="1"/>
  <c r="BK26" i="3"/>
  <c r="BT71" i="4"/>
  <c r="BT45" i="4"/>
  <c r="BT46" i="1"/>
  <c r="BS72" i="4"/>
  <c r="BS46" i="4"/>
  <c r="BJ53" i="1"/>
  <c r="BI76" i="4"/>
  <c r="BI75" i="4" s="1"/>
  <c r="BI55" i="4"/>
  <c r="BI48" i="1"/>
  <c r="BH74" i="4"/>
  <c r="BH48" i="4"/>
  <c r="BG49" i="4"/>
  <c r="BG21" i="6" s="1"/>
  <c r="AY18" i="6"/>
  <c r="AY64" i="4"/>
  <c r="BT23" i="6"/>
  <c r="BY63" i="4"/>
  <c r="BZ63" i="4"/>
  <c r="BG70" i="4"/>
  <c r="BA57" i="1"/>
  <c r="AZ61" i="4"/>
  <c r="BI47" i="1"/>
  <c r="BH73" i="4"/>
  <c r="BH47" i="4"/>
  <c r="AW40" i="4"/>
  <c r="AW41" i="4" s="1"/>
  <c r="AW20" i="6" s="1"/>
  <c r="AW69" i="4"/>
  <c r="AW67" i="4" s="1"/>
  <c r="AT53" i="4"/>
  <c r="AT52" i="4"/>
  <c r="AU17" i="4"/>
  <c r="AU11" i="6" s="1"/>
  <c r="AU81" i="4"/>
  <c r="AU82" i="4" s="1"/>
  <c r="AS17" i="6"/>
  <c r="AS24" i="6" s="1"/>
  <c r="AS59" i="4"/>
  <c r="AU6" i="6"/>
  <c r="AS15" i="8"/>
  <c r="AT15" i="7"/>
  <c r="AK42" i="8"/>
  <c r="AK43" i="8" s="1"/>
  <c r="AJ33" i="7"/>
  <c r="AO27" i="6"/>
  <c r="AO32" i="6"/>
  <c r="AM6" i="8"/>
  <c r="AM14" i="8" s="1"/>
  <c r="AM25" i="8" s="1"/>
  <c r="AM41" i="8" s="1"/>
  <c r="AM37" i="6"/>
  <c r="AL9" i="7"/>
  <c r="AL20" i="7" s="1"/>
  <c r="AM8" i="7"/>
  <c r="AQ13" i="6"/>
  <c r="AU42" i="4"/>
  <c r="AU32" i="4"/>
  <c r="AU16" i="6" s="1"/>
  <c r="AT18" i="4"/>
  <c r="AT10" i="4"/>
  <c r="AT10" i="6" s="1"/>
  <c r="AY6" i="4"/>
  <c r="AY9" i="6" s="1"/>
  <c r="BA15" i="3"/>
  <c r="BA48" i="3" s="1"/>
  <c r="BA49" i="3" s="1"/>
  <c r="AT21" i="3"/>
  <c r="AU11" i="4"/>
  <c r="AU20" i="3"/>
  <c r="AV18" i="3"/>
  <c r="AV29" i="4"/>
  <c r="AY16" i="3"/>
  <c r="AY31" i="4"/>
  <c r="AX37" i="4"/>
  <c r="AX39" i="4"/>
  <c r="BA6" i="1"/>
  <c r="BG22" i="4"/>
  <c r="BA39" i="1"/>
  <c r="AZ35" i="4"/>
  <c r="AY36" i="4"/>
  <c r="AY68" i="4" s="1"/>
  <c r="BA38" i="1"/>
  <c r="AZ34" i="4"/>
  <c r="AW8" i="3"/>
  <c r="AW10" i="3" s="1"/>
  <c r="AV15" i="4"/>
  <c r="AZ24" i="4"/>
  <c r="AZ26" i="4" s="1"/>
  <c r="BA31" i="1"/>
  <c r="BA33" i="3" s="1"/>
  <c r="BA18" i="1"/>
  <c r="AZ8" i="4"/>
  <c r="BA22" i="1"/>
  <c r="AZ12" i="4"/>
  <c r="BA17" i="1"/>
  <c r="AZ7" i="4"/>
  <c r="BA19" i="1"/>
  <c r="AZ9" i="4"/>
  <c r="BA24" i="1"/>
  <c r="BA14" i="4" s="1"/>
  <c r="BA9" i="1"/>
  <c r="BB7" i="1"/>
  <c r="BB14" i="3" s="1"/>
  <c r="BA30" i="4"/>
  <c r="AR32" i="6" l="1"/>
  <c r="AR33" i="6" s="1"/>
  <c r="AP6" i="8"/>
  <c r="AP14" i="8" s="1"/>
  <c r="AP25" i="8" s="1"/>
  <c r="AP41" i="8" s="1"/>
  <c r="BM23" i="4"/>
  <c r="BB32" i="1"/>
  <c r="BA25" i="4"/>
  <c r="BA27" i="4" s="1"/>
  <c r="BA24" i="3" s="1"/>
  <c r="BJ42" i="3"/>
  <c r="AZ7" i="3"/>
  <c r="BL26" i="3"/>
  <c r="AX45" i="3"/>
  <c r="AX51" i="3" s="1"/>
  <c r="BJ31" i="3"/>
  <c r="BJ32" i="3" s="1"/>
  <c r="BH49" i="4"/>
  <c r="BH21" i="6" s="1"/>
  <c r="BH70" i="4"/>
  <c r="BB15" i="3"/>
  <c r="BB48" i="3" s="1"/>
  <c r="BB47" i="3"/>
  <c r="BK9" i="3"/>
  <c r="BK42" i="3" s="1"/>
  <c r="AY40" i="3"/>
  <c r="AY43" i="3" s="1"/>
  <c r="AZ41" i="3" s="1"/>
  <c r="AS26" i="6"/>
  <c r="AS27" i="6" s="1"/>
  <c r="AY12" i="3"/>
  <c r="AY27" i="3"/>
  <c r="AZ25" i="3" s="1"/>
  <c r="BK31" i="3"/>
  <c r="BK32" i="3" s="1"/>
  <c r="AY29" i="3"/>
  <c r="AY35" i="3" s="1"/>
  <c r="AW38" i="3"/>
  <c r="AX37" i="3"/>
  <c r="AX38" i="3" s="1"/>
  <c r="AU7" i="6"/>
  <c r="AU52" i="3"/>
  <c r="AU53" i="3" s="1"/>
  <c r="BK8" i="1"/>
  <c r="BW23" i="6"/>
  <c r="BX23" i="6"/>
  <c r="BY23" i="6"/>
  <c r="BZ23" i="6"/>
  <c r="BJ48" i="1"/>
  <c r="BI74" i="4"/>
  <c r="BI48" i="4"/>
  <c r="BT72" i="4"/>
  <c r="BT46" i="4"/>
  <c r="BJ47" i="1"/>
  <c r="BI73" i="4"/>
  <c r="BI47" i="4"/>
  <c r="BX45" i="4"/>
  <c r="BY45" i="4"/>
  <c r="BZ45" i="4"/>
  <c r="AZ18" i="6"/>
  <c r="AZ64" i="4"/>
  <c r="BI58" i="4"/>
  <c r="BB57" i="1"/>
  <c r="BA61" i="4"/>
  <c r="BK53" i="1"/>
  <c r="BJ76" i="4"/>
  <c r="BJ75" i="4" s="1"/>
  <c r="BJ55" i="4"/>
  <c r="BJ58" i="4" s="1"/>
  <c r="BJ22" i="6" s="1"/>
  <c r="AX40" i="4"/>
  <c r="AX41" i="4" s="1"/>
  <c r="AX20" i="6" s="1"/>
  <c r="AX19" i="6" s="1"/>
  <c r="AX69" i="4"/>
  <c r="AX67" i="4" s="1"/>
  <c r="AU53" i="4"/>
  <c r="AU52" i="4"/>
  <c r="AT17" i="6"/>
  <c r="AT24" i="6" s="1"/>
  <c r="AT59" i="4"/>
  <c r="AV17" i="4"/>
  <c r="AV11" i="6" s="1"/>
  <c r="AV81" i="4"/>
  <c r="AV82" i="4" s="1"/>
  <c r="AV6" i="6"/>
  <c r="AT21" i="8"/>
  <c r="AT15" i="8" s="1"/>
  <c r="AU15" i="7"/>
  <c r="AN8" i="7"/>
  <c r="AM9" i="7"/>
  <c r="AM20" i="7" s="1"/>
  <c r="AW19" i="6"/>
  <c r="AQ26" i="6"/>
  <c r="AQ14" i="6"/>
  <c r="AO33" i="6"/>
  <c r="AO36" i="6"/>
  <c r="AJ35" i="7"/>
  <c r="AJ37" i="7" s="1"/>
  <c r="AJ38" i="7" s="1"/>
  <c r="BW33" i="7"/>
  <c r="BW35" i="7" s="1"/>
  <c r="BW37" i="7" s="1"/>
  <c r="BW38" i="7" s="1"/>
  <c r="AT12" i="6"/>
  <c r="AL42" i="8"/>
  <c r="AL43" i="8" s="1"/>
  <c r="AK33" i="7"/>
  <c r="AK35" i="7" s="1"/>
  <c r="AK37" i="7" s="1"/>
  <c r="AK38" i="7" s="1"/>
  <c r="AV42" i="4"/>
  <c r="AV32" i="4"/>
  <c r="AV16" i="6" s="1"/>
  <c r="AR36" i="6"/>
  <c r="AZ6" i="4"/>
  <c r="AU18" i="4"/>
  <c r="AU10" i="4"/>
  <c r="AU10" i="6" s="1"/>
  <c r="AU12" i="6" s="1"/>
  <c r="AU21" i="3"/>
  <c r="AV11" i="4"/>
  <c r="AV20" i="3"/>
  <c r="AW18" i="3"/>
  <c r="AW29" i="4"/>
  <c r="AW32" i="4" s="1"/>
  <c r="AW16" i="6" s="1"/>
  <c r="AZ16" i="3"/>
  <c r="AZ31" i="4"/>
  <c r="AY37" i="4"/>
  <c r="AY39" i="4"/>
  <c r="BB39" i="1"/>
  <c r="BA35" i="4"/>
  <c r="BH22" i="4"/>
  <c r="BB6" i="1"/>
  <c r="AZ36" i="4"/>
  <c r="AZ68" i="4" s="1"/>
  <c r="BB38" i="1"/>
  <c r="BA34" i="4"/>
  <c r="AX8" i="3"/>
  <c r="AX10" i="3" s="1"/>
  <c r="AW15" i="4"/>
  <c r="BA24" i="4"/>
  <c r="BA26" i="4" s="1"/>
  <c r="BB31" i="1"/>
  <c r="BB33" i="3" s="1"/>
  <c r="BB19" i="1"/>
  <c r="BA9" i="4"/>
  <c r="BB17" i="1"/>
  <c r="BA7" i="4"/>
  <c r="BB22" i="1"/>
  <c r="BA12" i="4"/>
  <c r="BB24" i="1"/>
  <c r="BB14" i="4" s="1"/>
  <c r="BB18" i="1"/>
  <c r="BA8" i="4"/>
  <c r="BB9" i="1"/>
  <c r="BC7" i="1"/>
  <c r="BC14" i="3" s="1"/>
  <c r="BB30" i="4"/>
  <c r="BC32" i="1" l="1"/>
  <c r="BB25" i="4"/>
  <c r="BB27" i="4" s="1"/>
  <c r="BB24" i="3" s="1"/>
  <c r="BN23" i="4"/>
  <c r="BA7" i="3"/>
  <c r="AS32" i="6"/>
  <c r="AS33" i="6" s="1"/>
  <c r="BB49" i="3"/>
  <c r="AY45" i="3"/>
  <c r="AY51" i="3" s="1"/>
  <c r="BC15" i="3"/>
  <c r="BC48" i="3" s="1"/>
  <c r="BC47" i="3"/>
  <c r="AZ12" i="3"/>
  <c r="AZ40" i="3"/>
  <c r="AZ43" i="3" s="1"/>
  <c r="BA41" i="3" s="1"/>
  <c r="BL9" i="3"/>
  <c r="BL42" i="3" s="1"/>
  <c r="AZ27" i="3"/>
  <c r="BA25" i="3" s="1"/>
  <c r="AU13" i="6"/>
  <c r="AU14" i="6" s="1"/>
  <c r="AV7" i="6"/>
  <c r="AV52" i="3"/>
  <c r="AV53" i="3" s="1"/>
  <c r="AY37" i="3"/>
  <c r="AZ29" i="3"/>
  <c r="AZ35" i="3" s="1"/>
  <c r="BL8" i="1"/>
  <c r="BL31" i="3" s="1"/>
  <c r="BL32" i="3" s="1"/>
  <c r="BI70" i="4"/>
  <c r="BC57" i="1"/>
  <c r="BB61" i="4"/>
  <c r="BL53" i="1"/>
  <c r="BK76" i="4"/>
  <c r="BK75" i="4" s="1"/>
  <c r="BK55" i="4"/>
  <c r="BI22" i="6"/>
  <c r="BK48" i="1"/>
  <c r="BJ74" i="4"/>
  <c r="BJ48" i="4"/>
  <c r="BA18" i="6"/>
  <c r="BA64" i="4"/>
  <c r="BI49" i="4"/>
  <c r="BK47" i="1"/>
  <c r="BJ73" i="4"/>
  <c r="BJ47" i="4"/>
  <c r="BJ49" i="4" s="1"/>
  <c r="BJ21" i="6" s="1"/>
  <c r="BX46" i="4"/>
  <c r="BY46" i="4"/>
  <c r="BZ46" i="4"/>
  <c r="AY40" i="4"/>
  <c r="AY41" i="4" s="1"/>
  <c r="AY20" i="6" s="1"/>
  <c r="AY69" i="4"/>
  <c r="AY67" i="4" s="1"/>
  <c r="AW17" i="4"/>
  <c r="AW11" i="6" s="1"/>
  <c r="AW81" i="4"/>
  <c r="AW82" i="4" s="1"/>
  <c r="AV53" i="4"/>
  <c r="AV52" i="4"/>
  <c r="AU17" i="6"/>
  <c r="AU24" i="6" s="1"/>
  <c r="AU59" i="4"/>
  <c r="AV15" i="7"/>
  <c r="AV21" i="8" s="1"/>
  <c r="AV15" i="8" s="1"/>
  <c r="AW6" i="6"/>
  <c r="AU21" i="8"/>
  <c r="AU15" i="8" s="1"/>
  <c r="AQ27" i="6"/>
  <c r="AQ32" i="6"/>
  <c r="AR6" i="8"/>
  <c r="AR14" i="8" s="1"/>
  <c r="AR25" i="8" s="1"/>
  <c r="AR41" i="8" s="1"/>
  <c r="AR37" i="6"/>
  <c r="AM42" i="8"/>
  <c r="AM43" i="8" s="1"/>
  <c r="AL33" i="7"/>
  <c r="AL35" i="7" s="1"/>
  <c r="AL37" i="7" s="1"/>
  <c r="AL38" i="7" s="1"/>
  <c r="AT13" i="6"/>
  <c r="AO6" i="8"/>
  <c r="AO37" i="6"/>
  <c r="AN9" i="7"/>
  <c r="AN20" i="7" s="1"/>
  <c r="AO8" i="7"/>
  <c r="AV18" i="4"/>
  <c r="AV10" i="4"/>
  <c r="AV10" i="6" s="1"/>
  <c r="AV12" i="6" s="1"/>
  <c r="AZ9" i="6"/>
  <c r="AW42" i="4"/>
  <c r="BA6" i="4"/>
  <c r="BA9" i="6" s="1"/>
  <c r="AV21" i="3"/>
  <c r="AW20" i="3"/>
  <c r="AW11" i="4"/>
  <c r="AX18" i="3"/>
  <c r="AX29" i="4"/>
  <c r="BA16" i="3"/>
  <c r="BA31" i="4"/>
  <c r="AZ37" i="4"/>
  <c r="AZ39" i="4"/>
  <c r="BI22" i="4"/>
  <c r="BC6" i="1"/>
  <c r="BC39" i="1"/>
  <c r="BB35" i="4"/>
  <c r="BA36" i="4"/>
  <c r="BA68" i="4" s="1"/>
  <c r="BC38" i="1"/>
  <c r="BB34" i="4"/>
  <c r="BB24" i="4"/>
  <c r="BB26" i="4" s="1"/>
  <c r="BC31" i="1"/>
  <c r="BC33" i="3" s="1"/>
  <c r="AY8" i="3"/>
  <c r="AY10" i="3" s="1"/>
  <c r="AX15" i="4"/>
  <c r="BC22" i="1"/>
  <c r="BB12" i="4"/>
  <c r="BC24" i="1"/>
  <c r="BC14" i="4" s="1"/>
  <c r="BC17" i="1"/>
  <c r="BB7" i="4"/>
  <c r="BC18" i="1"/>
  <c r="BB8" i="4"/>
  <c r="BC19" i="1"/>
  <c r="BB9" i="4"/>
  <c r="BC9" i="1"/>
  <c r="BD7" i="1"/>
  <c r="BD14" i="3" s="1"/>
  <c r="BC30" i="4"/>
  <c r="BO23" i="4" l="1"/>
  <c r="BD32" i="1"/>
  <c r="BC25" i="4"/>
  <c r="BC27" i="4" s="1"/>
  <c r="BC24" i="3" s="1"/>
  <c r="AS36" i="6"/>
  <c r="AS6" i="8" s="1"/>
  <c r="AS14" i="8" s="1"/>
  <c r="AS25" i="8" s="1"/>
  <c r="AS41" i="8" s="1"/>
  <c r="BB7" i="3"/>
  <c r="BA27" i="3"/>
  <c r="BB25" i="3" s="1"/>
  <c r="BC49" i="3"/>
  <c r="AZ45" i="3"/>
  <c r="AZ51" i="3" s="1"/>
  <c r="BD15" i="3"/>
  <c r="BD48" i="3" s="1"/>
  <c r="BD47" i="3"/>
  <c r="BM9" i="3"/>
  <c r="BA40" i="3"/>
  <c r="BA43" i="3" s="1"/>
  <c r="BB41" i="3" s="1"/>
  <c r="BA12" i="3"/>
  <c r="AU26" i="6"/>
  <c r="AU27" i="6" s="1"/>
  <c r="AV13" i="6"/>
  <c r="AV14" i="6" s="1"/>
  <c r="AW7" i="6"/>
  <c r="AW52" i="3"/>
  <c r="BA29" i="3"/>
  <c r="BA35" i="3" s="1"/>
  <c r="AY38" i="3"/>
  <c r="AZ37" i="3"/>
  <c r="AZ38" i="3" s="1"/>
  <c r="BM26" i="3"/>
  <c r="BM8" i="1"/>
  <c r="BJ70" i="4"/>
  <c r="BK58" i="4"/>
  <c r="BL47" i="1"/>
  <c r="BK73" i="4"/>
  <c r="BK47" i="4"/>
  <c r="BM53" i="1"/>
  <c r="BL76" i="4"/>
  <c r="BL75" i="4" s="1"/>
  <c r="BL55" i="4"/>
  <c r="BL58" i="4" s="1"/>
  <c r="BL22" i="6" s="1"/>
  <c r="BB18" i="6"/>
  <c r="BB64" i="4"/>
  <c r="BL48" i="1"/>
  <c r="BK74" i="4"/>
  <c r="BK48" i="4"/>
  <c r="BD57" i="1"/>
  <c r="BC61" i="4"/>
  <c r="BI21" i="6"/>
  <c r="AZ40" i="4"/>
  <c r="AZ41" i="4" s="1"/>
  <c r="AZ20" i="6" s="1"/>
  <c r="AZ19" i="6" s="1"/>
  <c r="AZ69" i="4"/>
  <c r="AZ67" i="4" s="1"/>
  <c r="AW52" i="4"/>
  <c r="AW53" i="4"/>
  <c r="AX17" i="4"/>
  <c r="AX11" i="6" s="1"/>
  <c r="AX81" i="4"/>
  <c r="AX82" i="4" s="1"/>
  <c r="AV17" i="6"/>
  <c r="AV24" i="6" s="1"/>
  <c r="AV59" i="4"/>
  <c r="AX6" i="6"/>
  <c r="AW15" i="7"/>
  <c r="AW21" i="8" s="1"/>
  <c r="BX12" i="6"/>
  <c r="AN42" i="8"/>
  <c r="AN43" i="8" s="1"/>
  <c r="AM33" i="7"/>
  <c r="AM35" i="7" s="1"/>
  <c r="AM37" i="7" s="1"/>
  <c r="AM38" i="7" s="1"/>
  <c r="AO14" i="8"/>
  <c r="AO25" i="8" s="1"/>
  <c r="AO41" i="8" s="1"/>
  <c r="AS37" i="6"/>
  <c r="AT26" i="6"/>
  <c r="AT14" i="6"/>
  <c r="AY19" i="6"/>
  <c r="AQ33" i="6"/>
  <c r="AQ36" i="6"/>
  <c r="AP8" i="7"/>
  <c r="AO9" i="7"/>
  <c r="AO20" i="7" s="1"/>
  <c r="AX42" i="4"/>
  <c r="AX32" i="4"/>
  <c r="AX16" i="6" s="1"/>
  <c r="AW18" i="4"/>
  <c r="AW10" i="4"/>
  <c r="BB6" i="4"/>
  <c r="BB9" i="6" s="1"/>
  <c r="AW21" i="3"/>
  <c r="AX20" i="3"/>
  <c r="AX11" i="4"/>
  <c r="BB16" i="3"/>
  <c r="BB31" i="4"/>
  <c r="AY18" i="3"/>
  <c r="AY29" i="4"/>
  <c r="AY32" i="4" s="1"/>
  <c r="AY16" i="6" s="1"/>
  <c r="BA37" i="4"/>
  <c r="BA39" i="4"/>
  <c r="BD39" i="1"/>
  <c r="BC35" i="4"/>
  <c r="BJ22" i="4"/>
  <c r="BD6" i="1"/>
  <c r="BB36" i="4"/>
  <c r="BB68" i="4" s="1"/>
  <c r="BD38" i="1"/>
  <c r="BC34" i="4"/>
  <c r="AZ8" i="3"/>
  <c r="AZ10" i="3" s="1"/>
  <c r="AY15" i="4"/>
  <c r="BC24" i="4"/>
  <c r="BC26" i="4" s="1"/>
  <c r="BD31" i="1"/>
  <c r="BD33" i="3" s="1"/>
  <c r="BD17" i="1"/>
  <c r="BC7" i="4"/>
  <c r="BD24" i="1"/>
  <c r="BD14" i="4" s="1"/>
  <c r="BD18" i="1"/>
  <c r="BC8" i="4"/>
  <c r="BD19" i="1"/>
  <c r="BC9" i="4"/>
  <c r="BD22" i="1"/>
  <c r="BC12" i="4"/>
  <c r="BD9" i="1"/>
  <c r="BE7" i="1"/>
  <c r="BE14" i="3" s="1"/>
  <c r="BD30" i="4"/>
  <c r="BE32" i="1" l="1"/>
  <c r="BD25" i="4"/>
  <c r="BD27" i="4" s="1"/>
  <c r="BD24" i="3" s="1"/>
  <c r="BP23" i="4"/>
  <c r="AV26" i="6"/>
  <c r="AV27" i="6" s="1"/>
  <c r="BC7" i="3"/>
  <c r="BM31" i="3"/>
  <c r="BM32" i="3" s="1"/>
  <c r="BD49" i="3"/>
  <c r="BM42" i="3"/>
  <c r="AU32" i="6"/>
  <c r="AU33" i="6" s="1"/>
  <c r="BA45" i="3"/>
  <c r="BA51" i="3" s="1"/>
  <c r="BE15" i="3"/>
  <c r="BE48" i="3" s="1"/>
  <c r="BE47" i="3"/>
  <c r="BN9" i="3"/>
  <c r="BB40" i="3"/>
  <c r="BB43" i="3" s="1"/>
  <c r="BC41" i="3" s="1"/>
  <c r="BB12" i="3"/>
  <c r="AX7" i="6"/>
  <c r="AX52" i="3"/>
  <c r="AX53" i="3" s="1"/>
  <c r="BB29" i="3"/>
  <c r="BB35" i="3" s="1"/>
  <c r="BA37" i="3"/>
  <c r="BN26" i="3"/>
  <c r="AW53" i="3"/>
  <c r="BB27" i="3"/>
  <c r="BC25" i="3" s="1"/>
  <c r="BN8" i="1"/>
  <c r="BO26" i="3"/>
  <c r="BK70" i="4"/>
  <c r="BM48" i="1"/>
  <c r="BL74" i="4"/>
  <c r="BL48" i="4"/>
  <c r="BK49" i="4"/>
  <c r="BM47" i="1"/>
  <c r="BL73" i="4"/>
  <c r="BL47" i="4"/>
  <c r="BK22" i="6"/>
  <c r="BC18" i="6"/>
  <c r="BC64" i="4"/>
  <c r="BE57" i="1"/>
  <c r="BD61" i="4"/>
  <c r="BN53" i="1"/>
  <c r="BM76" i="4"/>
  <c r="BM75" i="4" s="1"/>
  <c r="BM55" i="4"/>
  <c r="BA40" i="4"/>
  <c r="BA41" i="4" s="1"/>
  <c r="BA20" i="6" s="1"/>
  <c r="BA19" i="6" s="1"/>
  <c r="BA69" i="4"/>
  <c r="BA67" i="4" s="1"/>
  <c r="AX53" i="4"/>
  <c r="AX52" i="4"/>
  <c r="AW17" i="6"/>
  <c r="AY17" i="4"/>
  <c r="AY11" i="6" s="1"/>
  <c r="AY81" i="4"/>
  <c r="AY82" i="4" s="1"/>
  <c r="AW59" i="4"/>
  <c r="AY6" i="6"/>
  <c r="AW15" i="8"/>
  <c r="AX15" i="7"/>
  <c r="AX21" i="8" s="1"/>
  <c r="AX15" i="8" s="1"/>
  <c r="AQ6" i="8"/>
  <c r="AQ37" i="6"/>
  <c r="AT27" i="6"/>
  <c r="AT32" i="6"/>
  <c r="AQ8" i="7"/>
  <c r="AP9" i="7"/>
  <c r="AP20" i="7" s="1"/>
  <c r="AO42" i="8"/>
  <c r="AO43" i="8" s="1"/>
  <c r="AN33" i="7"/>
  <c r="AN35" i="7" s="1"/>
  <c r="AN37" i="7" s="1"/>
  <c r="AN38" i="7" s="1"/>
  <c r="AW10" i="6"/>
  <c r="AX18" i="4"/>
  <c r="AX10" i="4"/>
  <c r="AX10" i="6" s="1"/>
  <c r="AX12" i="6" s="1"/>
  <c r="AY42" i="4"/>
  <c r="BC6" i="4"/>
  <c r="BC9" i="6" s="1"/>
  <c r="AX21" i="3"/>
  <c r="AY11" i="4"/>
  <c r="AY20" i="3"/>
  <c r="BC16" i="3"/>
  <c r="BC31" i="4"/>
  <c r="AZ18" i="3"/>
  <c r="AZ29" i="4"/>
  <c r="BB37" i="4"/>
  <c r="BB39" i="4"/>
  <c r="BE6" i="1"/>
  <c r="BK22" i="4"/>
  <c r="BE39" i="1"/>
  <c r="BD35" i="4"/>
  <c r="BC36" i="4"/>
  <c r="BC68" i="4" s="1"/>
  <c r="BE38" i="1"/>
  <c r="BD34" i="4"/>
  <c r="BE31" i="1"/>
  <c r="BE33" i="3" s="1"/>
  <c r="BD24" i="4"/>
  <c r="BD26" i="4" s="1"/>
  <c r="BA8" i="3"/>
  <c r="BA10" i="3" s="1"/>
  <c r="AZ15" i="4"/>
  <c r="BE24" i="1"/>
  <c r="BE14" i="4" s="1"/>
  <c r="BE19" i="1"/>
  <c r="BD9" i="4"/>
  <c r="BE18" i="1"/>
  <c r="BD8" i="4"/>
  <c r="BE22" i="1"/>
  <c r="BD12" i="4"/>
  <c r="BE17" i="1"/>
  <c r="BD7" i="4"/>
  <c r="BE9" i="1"/>
  <c r="BF7" i="1"/>
  <c r="BF14" i="3" s="1"/>
  <c r="BE30" i="4"/>
  <c r="AV32" i="6" l="1"/>
  <c r="AV33" i="6" s="1"/>
  <c r="BQ23" i="4"/>
  <c r="BF32" i="1"/>
  <c r="BE25" i="4"/>
  <c r="BE27" i="4" s="1"/>
  <c r="BE24" i="3" s="1"/>
  <c r="AX13" i="6"/>
  <c r="AX14" i="6" s="1"/>
  <c r="BD7" i="3"/>
  <c r="AU36" i="6"/>
  <c r="AU6" i="8" s="1"/>
  <c r="AU14" i="8" s="1"/>
  <c r="AU25" i="8" s="1"/>
  <c r="AU41" i="8" s="1"/>
  <c r="BB45" i="3"/>
  <c r="BB51" i="3" s="1"/>
  <c r="BN31" i="3"/>
  <c r="BN32" i="3" s="1"/>
  <c r="BE49" i="3"/>
  <c r="BL49" i="4"/>
  <c r="BL21" i="6" s="1"/>
  <c r="BN42" i="3"/>
  <c r="BF15" i="3"/>
  <c r="BF48" i="3" s="1"/>
  <c r="BF47" i="3"/>
  <c r="BO9" i="3"/>
  <c r="BO42" i="3" s="1"/>
  <c r="BC40" i="3"/>
  <c r="BC43" i="3" s="1"/>
  <c r="BD41" i="3" s="1"/>
  <c r="BC27" i="3"/>
  <c r="BD25" i="3" s="1"/>
  <c r="BC12" i="3"/>
  <c r="AY7" i="6"/>
  <c r="AY52" i="3"/>
  <c r="BA38" i="3"/>
  <c r="BB37" i="3"/>
  <c r="BB38" i="3" s="1"/>
  <c r="BC29" i="3"/>
  <c r="BC35" i="3" s="1"/>
  <c r="BO8" i="1"/>
  <c r="BO31" i="3" s="1"/>
  <c r="BO32" i="3" s="1"/>
  <c r="BP26" i="3"/>
  <c r="BL70" i="4"/>
  <c r="BM58" i="4"/>
  <c r="BD18" i="6"/>
  <c r="BD64" i="4"/>
  <c r="BF57" i="1"/>
  <c r="BE61" i="4"/>
  <c r="BN47" i="1"/>
  <c r="BM73" i="4"/>
  <c r="BM47" i="4"/>
  <c r="BO53" i="1"/>
  <c r="BN76" i="4"/>
  <c r="BN75" i="4" s="1"/>
  <c r="BN55" i="4"/>
  <c r="BN58" i="4" s="1"/>
  <c r="BN22" i="6" s="1"/>
  <c r="BK21" i="6"/>
  <c r="BN48" i="1"/>
  <c r="BM74" i="4"/>
  <c r="BM48" i="4"/>
  <c r="BB40" i="4"/>
  <c r="BB41" i="4" s="1"/>
  <c r="BB20" i="6" s="1"/>
  <c r="BB19" i="6" s="1"/>
  <c r="BB69" i="4"/>
  <c r="BB67" i="4" s="1"/>
  <c r="AY52" i="4"/>
  <c r="AY53" i="4"/>
  <c r="AW24" i="6"/>
  <c r="AZ17" i="4"/>
  <c r="AZ11" i="6" s="1"/>
  <c r="AZ81" i="4"/>
  <c r="AZ82" i="4" s="1"/>
  <c r="AX17" i="6"/>
  <c r="AX24" i="6" s="1"/>
  <c r="AX59" i="4"/>
  <c r="AZ6" i="6"/>
  <c r="AY15" i="7"/>
  <c r="AY21" i="8" s="1"/>
  <c r="AY15" i="8" s="1"/>
  <c r="AP42" i="8"/>
  <c r="AP43" i="8" s="1"/>
  <c r="AO33" i="7"/>
  <c r="AO35" i="7" s="1"/>
  <c r="AO37" i="7" s="1"/>
  <c r="AO38" i="7" s="1"/>
  <c r="AQ9" i="7"/>
  <c r="AQ20" i="7" s="1"/>
  <c r="AR8" i="7"/>
  <c r="AQ14" i="8"/>
  <c r="AQ25" i="8" s="1"/>
  <c r="AQ41" i="8" s="1"/>
  <c r="AW12" i="6"/>
  <c r="AT33" i="6"/>
  <c r="AT36" i="6"/>
  <c r="AZ42" i="4"/>
  <c r="AZ32" i="4"/>
  <c r="AZ16" i="6" s="1"/>
  <c r="AY18" i="4"/>
  <c r="AY10" i="4"/>
  <c r="AY10" i="6" s="1"/>
  <c r="AY12" i="6" s="1"/>
  <c r="AV36" i="6"/>
  <c r="BD6" i="4"/>
  <c r="BD9" i="6" s="1"/>
  <c r="AY21" i="3"/>
  <c r="AZ11" i="4"/>
  <c r="AZ10" i="4" s="1"/>
  <c r="AZ10" i="6" s="1"/>
  <c r="AZ20" i="3"/>
  <c r="BA18" i="3"/>
  <c r="BA29" i="4"/>
  <c r="BD16" i="3"/>
  <c r="BD31" i="4"/>
  <c r="BC37" i="4"/>
  <c r="BC39" i="4"/>
  <c r="BF39" i="1"/>
  <c r="BE35" i="4"/>
  <c r="BL22" i="4"/>
  <c r="BF6" i="1"/>
  <c r="BD36" i="4"/>
  <c r="BD68" i="4" s="1"/>
  <c r="BF38" i="1"/>
  <c r="BE34" i="4"/>
  <c r="BB8" i="3"/>
  <c r="BB10" i="3" s="1"/>
  <c r="BA15" i="4"/>
  <c r="BE24" i="4"/>
  <c r="BE26" i="4" s="1"/>
  <c r="BF31" i="1"/>
  <c r="BF33" i="3" s="1"/>
  <c r="BF22" i="1"/>
  <c r="BE12" i="4"/>
  <c r="BF18" i="1"/>
  <c r="BE8" i="4"/>
  <c r="BF19" i="1"/>
  <c r="BE9" i="4"/>
  <c r="BF17" i="1"/>
  <c r="BE7" i="4"/>
  <c r="BF24" i="1"/>
  <c r="BF14" i="4" s="1"/>
  <c r="BF9" i="1"/>
  <c r="BG7" i="1"/>
  <c r="BG14" i="3" s="1"/>
  <c r="BF30" i="4"/>
  <c r="AU37" i="6" l="1"/>
  <c r="AX26" i="6"/>
  <c r="AX27" i="6" s="1"/>
  <c r="BG32" i="1"/>
  <c r="BF25" i="4"/>
  <c r="BF27" i="4" s="1"/>
  <c r="BF24" i="3" s="1"/>
  <c r="BR23" i="4"/>
  <c r="BE7" i="3"/>
  <c r="BF49" i="3"/>
  <c r="BG15" i="3"/>
  <c r="BG48" i="3" s="1"/>
  <c r="BG47" i="3"/>
  <c r="BP9" i="3"/>
  <c r="BP42" i="3" s="1"/>
  <c r="BD40" i="3"/>
  <c r="BD43" i="3" s="1"/>
  <c r="BE41" i="3" s="1"/>
  <c r="BC45" i="3"/>
  <c r="BC51" i="3" s="1"/>
  <c r="BD27" i="3"/>
  <c r="BE25" i="3" s="1"/>
  <c r="AY13" i="6"/>
  <c r="AY14" i="6" s="1"/>
  <c r="BD12" i="3"/>
  <c r="BC37" i="3"/>
  <c r="AY53" i="3"/>
  <c r="AZ7" i="6"/>
  <c r="AZ52" i="3"/>
  <c r="AZ53" i="3" s="1"/>
  <c r="BD29" i="3"/>
  <c r="BD35" i="3" s="1"/>
  <c r="BP8" i="1"/>
  <c r="BP31" i="3" s="1"/>
  <c r="BP32" i="3" s="1"/>
  <c r="BQ26" i="3"/>
  <c r="BM70" i="4"/>
  <c r="BO47" i="1"/>
  <c r="BN73" i="4"/>
  <c r="BN47" i="4"/>
  <c r="BE18" i="6"/>
  <c r="BE64" i="4"/>
  <c r="BG57" i="1"/>
  <c r="BF61" i="4"/>
  <c r="BO48" i="1"/>
  <c r="BN74" i="4"/>
  <c r="BN48" i="4"/>
  <c r="BP53" i="1"/>
  <c r="BO76" i="4"/>
  <c r="BO75" i="4" s="1"/>
  <c r="BO55" i="4"/>
  <c r="BO58" i="4" s="1"/>
  <c r="BO22" i="6" s="1"/>
  <c r="BM49" i="4"/>
  <c r="BM22" i="6"/>
  <c r="BC40" i="4"/>
  <c r="BC41" i="4" s="1"/>
  <c r="BC20" i="6" s="1"/>
  <c r="BC69" i="4"/>
  <c r="BC67" i="4" s="1"/>
  <c r="AZ12" i="6"/>
  <c r="AZ53" i="4"/>
  <c r="AZ52" i="4"/>
  <c r="AY17" i="6"/>
  <c r="AY59" i="4"/>
  <c r="BA17" i="4"/>
  <c r="BA11" i="6" s="1"/>
  <c r="BA81" i="4"/>
  <c r="BA82" i="4" s="1"/>
  <c r="AZ15" i="7"/>
  <c r="AZ21" i="8" s="1"/>
  <c r="AZ15" i="8" s="1"/>
  <c r="BA6" i="6"/>
  <c r="AV6" i="8"/>
  <c r="AV14" i="8" s="1"/>
  <c r="AV25" i="8" s="1"/>
  <c r="AV41" i="8" s="1"/>
  <c r="AV37" i="6"/>
  <c r="AW13" i="6"/>
  <c r="AQ42" i="8"/>
  <c r="AQ43" i="8" s="1"/>
  <c r="AP33" i="7"/>
  <c r="AP35" i="7" s="1"/>
  <c r="AP37" i="7" s="1"/>
  <c r="AP38" i="7" s="1"/>
  <c r="AS8" i="7"/>
  <c r="AR9" i="7"/>
  <c r="AR20" i="7" s="1"/>
  <c r="AT37" i="6"/>
  <c r="AT6" i="8"/>
  <c r="BA42" i="4"/>
  <c r="BA32" i="4"/>
  <c r="BA16" i="6" s="1"/>
  <c r="AZ18" i="4"/>
  <c r="AX32" i="6"/>
  <c r="AX33" i="6" s="1"/>
  <c r="BE6" i="4"/>
  <c r="BE9" i="6" s="1"/>
  <c r="AZ21" i="3"/>
  <c r="BA20" i="3"/>
  <c r="BA11" i="4"/>
  <c r="BE16" i="3"/>
  <c r="BE31" i="4"/>
  <c r="BB18" i="3"/>
  <c r="BB29" i="4"/>
  <c r="BD37" i="4"/>
  <c r="BD39" i="4"/>
  <c r="BG6" i="1"/>
  <c r="BM22" i="4"/>
  <c r="BG39" i="1"/>
  <c r="BF35" i="4"/>
  <c r="BE36" i="4"/>
  <c r="BE68" i="4" s="1"/>
  <c r="BG38" i="1"/>
  <c r="BF34" i="4"/>
  <c r="BC8" i="3"/>
  <c r="BC10" i="3" s="1"/>
  <c r="BB15" i="4"/>
  <c r="BF24" i="4"/>
  <c r="BF26" i="4" s="1"/>
  <c r="BG31" i="1"/>
  <c r="BG33" i="3" s="1"/>
  <c r="BG17" i="1"/>
  <c r="BF7" i="4"/>
  <c r="BG19" i="1"/>
  <c r="BF9" i="4"/>
  <c r="BG18" i="1"/>
  <c r="BF8" i="4"/>
  <c r="BG24" i="1"/>
  <c r="BG14" i="4" s="1"/>
  <c r="BG22" i="1"/>
  <c r="BF12" i="4"/>
  <c r="BG9" i="1"/>
  <c r="BH7" i="1"/>
  <c r="BH14" i="3" s="1"/>
  <c r="BG30" i="4"/>
  <c r="BT23" i="4" l="1"/>
  <c r="BS23" i="4"/>
  <c r="BH32" i="1"/>
  <c r="BG25" i="4"/>
  <c r="BG27" i="4" s="1"/>
  <c r="BG24" i="3" s="1"/>
  <c r="BF7" i="3"/>
  <c r="BR9" i="3" s="1"/>
  <c r="BR26" i="3"/>
  <c r="BG49" i="3"/>
  <c r="BH15" i="3"/>
  <c r="BH48" i="3" s="1"/>
  <c r="BH47" i="3"/>
  <c r="BE12" i="3"/>
  <c r="BE40" i="3"/>
  <c r="BE43" i="3" s="1"/>
  <c r="BF41" i="3" s="1"/>
  <c r="BD45" i="3"/>
  <c r="BD51" i="3" s="1"/>
  <c r="AZ13" i="6"/>
  <c r="AZ14" i="6" s="1"/>
  <c r="BQ9" i="3"/>
  <c r="BQ42" i="3" s="1"/>
  <c r="BE27" i="3"/>
  <c r="BF25" i="3" s="1"/>
  <c r="BA7" i="6"/>
  <c r="BA52" i="3"/>
  <c r="BC38" i="3"/>
  <c r="BD37" i="3"/>
  <c r="BD38" i="3" s="1"/>
  <c r="BE29" i="3"/>
  <c r="BE35" i="3" s="1"/>
  <c r="BQ8" i="1"/>
  <c r="BQ31" i="3" s="1"/>
  <c r="BQ32" i="3" s="1"/>
  <c r="BN70" i="4"/>
  <c r="BN49" i="4"/>
  <c r="BN21" i="6" s="1"/>
  <c r="BM21" i="6"/>
  <c r="BP48" i="1"/>
  <c r="BO74" i="4"/>
  <c r="BO48" i="4"/>
  <c r="BF18" i="6"/>
  <c r="BF64" i="4"/>
  <c r="BP47" i="1"/>
  <c r="BO73" i="4"/>
  <c r="BO47" i="4"/>
  <c r="BH57" i="1"/>
  <c r="BG61" i="4"/>
  <c r="BQ53" i="1"/>
  <c r="BP76" i="4"/>
  <c r="BP75" i="4" s="1"/>
  <c r="BP55" i="4"/>
  <c r="BD40" i="4"/>
  <c r="BD41" i="4" s="1"/>
  <c r="BD20" i="6" s="1"/>
  <c r="BD19" i="6" s="1"/>
  <c r="BD69" i="4"/>
  <c r="BD67" i="4" s="1"/>
  <c r="AY24" i="6"/>
  <c r="AY26" i="6" s="1"/>
  <c r="AY27" i="6" s="1"/>
  <c r="BB17" i="4"/>
  <c r="BB11" i="6" s="1"/>
  <c r="BB81" i="4"/>
  <c r="BB82" i="4" s="1"/>
  <c r="AZ17" i="6"/>
  <c r="AZ24" i="6" s="1"/>
  <c r="AZ59" i="4"/>
  <c r="BA52" i="4"/>
  <c r="BA53" i="4"/>
  <c r="BA15" i="7"/>
  <c r="BA21" i="8" s="1"/>
  <c r="BA15" i="8" s="1"/>
  <c r="BB6" i="6"/>
  <c r="AR42" i="8"/>
  <c r="AR43" i="8" s="1"/>
  <c r="AQ33" i="7"/>
  <c r="AQ35" i="7" s="1"/>
  <c r="AQ37" i="7" s="1"/>
  <c r="AQ38" i="7" s="1"/>
  <c r="AT14" i="8"/>
  <c r="AT25" i="8" s="1"/>
  <c r="AT41" i="8" s="1"/>
  <c r="BX6" i="8"/>
  <c r="BX14" i="8" s="1"/>
  <c r="BC19" i="6"/>
  <c r="AW26" i="6"/>
  <c r="AW14" i="6"/>
  <c r="AT8" i="7"/>
  <c r="AS9" i="7"/>
  <c r="AS20" i="7" s="1"/>
  <c r="BB42" i="4"/>
  <c r="BB32" i="4"/>
  <c r="BB16" i="6" s="1"/>
  <c r="AX36" i="6"/>
  <c r="BA18" i="4"/>
  <c r="BA10" i="4"/>
  <c r="BF6" i="4"/>
  <c r="BF9" i="6" s="1"/>
  <c r="BA21" i="3"/>
  <c r="BB11" i="4"/>
  <c r="BB20" i="3"/>
  <c r="BF16" i="3"/>
  <c r="BF31" i="4"/>
  <c r="BC18" i="3"/>
  <c r="BC29" i="4"/>
  <c r="BE37" i="4"/>
  <c r="BE39" i="4"/>
  <c r="BH39" i="1"/>
  <c r="BG35" i="4"/>
  <c r="BN22" i="4"/>
  <c r="BH6" i="1"/>
  <c r="BF36" i="4"/>
  <c r="BF68" i="4" s="1"/>
  <c r="BH38" i="1"/>
  <c r="BG34" i="4"/>
  <c r="BD8" i="3"/>
  <c r="BD10" i="3" s="1"/>
  <c r="BC15" i="4"/>
  <c r="BG24" i="4"/>
  <c r="BG26" i="4" s="1"/>
  <c r="BH31" i="1"/>
  <c r="BH33" i="3" s="1"/>
  <c r="BH24" i="1"/>
  <c r="BH14" i="4" s="1"/>
  <c r="BH18" i="1"/>
  <c r="BG8" i="4"/>
  <c r="BH19" i="1"/>
  <c r="BG9" i="4"/>
  <c r="BH22" i="1"/>
  <c r="BG12" i="4"/>
  <c r="BH17" i="1"/>
  <c r="BG7" i="4"/>
  <c r="BH9" i="1"/>
  <c r="BI7" i="1"/>
  <c r="BI14" i="3" s="1"/>
  <c r="BI47" i="3" s="1"/>
  <c r="BH30" i="4"/>
  <c r="BI32" i="1" l="1"/>
  <c r="BH25" i="4"/>
  <c r="BH27" i="4" s="1"/>
  <c r="BH24" i="3" s="1"/>
  <c r="BG7" i="3"/>
  <c r="BH49" i="3"/>
  <c r="BR42" i="3"/>
  <c r="AZ26" i="6"/>
  <c r="AZ27" i="6" s="1"/>
  <c r="BE45" i="3"/>
  <c r="BE51" i="3" s="1"/>
  <c r="BF12" i="3"/>
  <c r="BF40" i="3"/>
  <c r="BF43" i="3" s="1"/>
  <c r="BG41" i="3" s="1"/>
  <c r="BF27" i="3"/>
  <c r="BG25" i="3" s="1"/>
  <c r="BB7" i="6"/>
  <c r="BB52" i="3"/>
  <c r="BB53" i="3" s="1"/>
  <c r="BF29" i="3"/>
  <c r="BF35" i="3" s="1"/>
  <c r="BE37" i="3"/>
  <c r="BA53" i="3"/>
  <c r="BR8" i="1"/>
  <c r="BR31" i="3" s="1"/>
  <c r="BR32" i="3" s="1"/>
  <c r="BO70" i="4"/>
  <c r="BP58" i="4"/>
  <c r="BG18" i="6"/>
  <c r="BG64" i="4"/>
  <c r="BI57" i="1"/>
  <c r="BH61" i="4"/>
  <c r="BQ48" i="1"/>
  <c r="BP74" i="4"/>
  <c r="BP48" i="4"/>
  <c r="BR53" i="1"/>
  <c r="BQ76" i="4"/>
  <c r="BQ75" i="4" s="1"/>
  <c r="BQ55" i="4"/>
  <c r="BQ58" i="4" s="1"/>
  <c r="BQ22" i="6" s="1"/>
  <c r="BO49" i="4"/>
  <c r="BQ47" i="1"/>
  <c r="BP73" i="4"/>
  <c r="BP47" i="4"/>
  <c r="BE40" i="4"/>
  <c r="BE41" i="4" s="1"/>
  <c r="BE20" i="6" s="1"/>
  <c r="BE19" i="6" s="1"/>
  <c r="BE69" i="4"/>
  <c r="BE67" i="4" s="1"/>
  <c r="AY32" i="6"/>
  <c r="AY33" i="6" s="1"/>
  <c r="BB53" i="4"/>
  <c r="BB52" i="4"/>
  <c r="BC17" i="4"/>
  <c r="BC11" i="6" s="1"/>
  <c r="BC81" i="4"/>
  <c r="BC82" i="4" s="1"/>
  <c r="BA17" i="6"/>
  <c r="BA59" i="4"/>
  <c r="BC6" i="6"/>
  <c r="BB15" i="7"/>
  <c r="BB21" i="8" s="1"/>
  <c r="AU8" i="7"/>
  <c r="AT9" i="7"/>
  <c r="AT20" i="7" s="1"/>
  <c r="AX6" i="8"/>
  <c r="AX14" i="8" s="1"/>
  <c r="AX25" i="8" s="1"/>
  <c r="AX41" i="8" s="1"/>
  <c r="AX37" i="6"/>
  <c r="AW27" i="6"/>
  <c r="AW32" i="6"/>
  <c r="AS42" i="8"/>
  <c r="AS43" i="8" s="1"/>
  <c r="AR33" i="7"/>
  <c r="AR35" i="7" s="1"/>
  <c r="AR37" i="7" s="1"/>
  <c r="AR38" i="7" s="1"/>
  <c r="BC42" i="4"/>
  <c r="BC32" i="4"/>
  <c r="BC16" i="6" s="1"/>
  <c r="BA10" i="6"/>
  <c r="BB18" i="4"/>
  <c r="BB10" i="4"/>
  <c r="BB10" i="6" s="1"/>
  <c r="BB12" i="6" s="1"/>
  <c r="BG6" i="4"/>
  <c r="BG9" i="6" s="1"/>
  <c r="BB21" i="3"/>
  <c r="BI15" i="3"/>
  <c r="BI48" i="3" s="1"/>
  <c r="BI49" i="3" s="1"/>
  <c r="BC20" i="3"/>
  <c r="BC11" i="4"/>
  <c r="BG16" i="3"/>
  <c r="BG31" i="4"/>
  <c r="BD18" i="3"/>
  <c r="BD29" i="4"/>
  <c r="BF37" i="4"/>
  <c r="BF39" i="4"/>
  <c r="BI6" i="1"/>
  <c r="BO22" i="4"/>
  <c r="BI39" i="1"/>
  <c r="BH35" i="4"/>
  <c r="BG36" i="4"/>
  <c r="BG68" i="4" s="1"/>
  <c r="BI38" i="1"/>
  <c r="BH34" i="4"/>
  <c r="BE8" i="3"/>
  <c r="BE10" i="3" s="1"/>
  <c r="BD15" i="4"/>
  <c r="BI31" i="1"/>
  <c r="BI33" i="3" s="1"/>
  <c r="BH24" i="4"/>
  <c r="BH26" i="4" s="1"/>
  <c r="BI19" i="1"/>
  <c r="BH9" i="4"/>
  <c r="BI18" i="1"/>
  <c r="BH8" i="4"/>
  <c r="BI22" i="1"/>
  <c r="BH12" i="4"/>
  <c r="BI17" i="1"/>
  <c r="BH7" i="4"/>
  <c r="BI24" i="1"/>
  <c r="BI14" i="4" s="1"/>
  <c r="BI9" i="1"/>
  <c r="BJ7" i="1"/>
  <c r="BJ14" i="3" s="1"/>
  <c r="BI30" i="4"/>
  <c r="BJ32" i="1" l="1"/>
  <c r="BI25" i="4"/>
  <c r="BI27" i="4" s="1"/>
  <c r="BI24" i="3" s="1"/>
  <c r="BH7" i="3"/>
  <c r="AZ32" i="6"/>
  <c r="AZ33" i="6" s="1"/>
  <c r="BF45" i="3"/>
  <c r="BF51" i="3" s="1"/>
  <c r="BG12" i="3"/>
  <c r="BG40" i="3"/>
  <c r="BG43" i="3" s="1"/>
  <c r="BH41" i="3" s="1"/>
  <c r="BJ15" i="3"/>
  <c r="BJ48" i="3" s="1"/>
  <c r="BJ47" i="3"/>
  <c r="BB13" i="6"/>
  <c r="BB14" i="6" s="1"/>
  <c r="BS9" i="3"/>
  <c r="BG29" i="3"/>
  <c r="BG35" i="3" s="1"/>
  <c r="BE38" i="3"/>
  <c r="BF37" i="3"/>
  <c r="BF38" i="3" s="1"/>
  <c r="BC7" i="6"/>
  <c r="BC52" i="3"/>
  <c r="BG27" i="3"/>
  <c r="BH25" i="3" s="1"/>
  <c r="BS26" i="3"/>
  <c r="BS8" i="1"/>
  <c r="BT26" i="3"/>
  <c r="BP70" i="4"/>
  <c r="BP49" i="4"/>
  <c r="BP21" i="6" s="1"/>
  <c r="BH18" i="6"/>
  <c r="BH64" i="4"/>
  <c r="BO21" i="6"/>
  <c r="BJ57" i="1"/>
  <c r="BI61" i="4"/>
  <c r="BR47" i="1"/>
  <c r="BQ73" i="4"/>
  <c r="BQ47" i="4"/>
  <c r="BP22" i="6"/>
  <c r="BS53" i="1"/>
  <c r="BR76" i="4"/>
  <c r="BR75" i="4" s="1"/>
  <c r="BR55" i="4"/>
  <c r="BR58" i="4" s="1"/>
  <c r="BR22" i="6" s="1"/>
  <c r="BR48" i="1"/>
  <c r="BQ74" i="4"/>
  <c r="BQ48" i="4"/>
  <c r="AY36" i="6"/>
  <c r="AY6" i="8" s="1"/>
  <c r="AY14" i="8" s="1"/>
  <c r="AY25" i="8" s="1"/>
  <c r="AY41" i="8" s="1"/>
  <c r="BF40" i="4"/>
  <c r="BF41" i="4" s="1"/>
  <c r="BF20" i="6" s="1"/>
  <c r="BF19" i="6" s="1"/>
  <c r="BF69" i="4"/>
  <c r="BF67" i="4" s="1"/>
  <c r="BA24" i="6"/>
  <c r="BC53" i="4"/>
  <c r="BC52" i="4"/>
  <c r="BD17" i="4"/>
  <c r="BD11" i="6" s="1"/>
  <c r="BD81" i="4"/>
  <c r="BD82" i="4" s="1"/>
  <c r="BB17" i="6"/>
  <c r="BB24" i="6" s="1"/>
  <c r="BB59" i="4"/>
  <c r="BC15" i="7"/>
  <c r="BC21" i="8" s="1"/>
  <c r="BC15" i="8" s="1"/>
  <c r="BB15" i="8"/>
  <c r="BD6" i="6"/>
  <c r="BA12" i="6"/>
  <c r="AT42" i="8"/>
  <c r="AT43" i="8" s="1"/>
  <c r="AS33" i="7"/>
  <c r="AS35" i="7" s="1"/>
  <c r="AS37" i="7" s="1"/>
  <c r="AS38" i="7" s="1"/>
  <c r="AU9" i="7"/>
  <c r="AU20" i="7" s="1"/>
  <c r="AV8" i="7"/>
  <c r="AW33" i="6"/>
  <c r="AW36" i="6"/>
  <c r="BD42" i="4"/>
  <c r="BD32" i="4"/>
  <c r="BD16" i="6" s="1"/>
  <c r="BH6" i="4"/>
  <c r="BH9" i="6" s="1"/>
  <c r="BC18" i="4"/>
  <c r="BC10" i="4"/>
  <c r="BC10" i="6" s="1"/>
  <c r="BC12" i="6" s="1"/>
  <c r="BC21" i="3"/>
  <c r="BD11" i="4"/>
  <c r="BD20" i="3"/>
  <c r="BH16" i="3"/>
  <c r="BH31" i="4"/>
  <c r="BE18" i="3"/>
  <c r="BE29" i="4"/>
  <c r="BG37" i="4"/>
  <c r="BG39" i="4"/>
  <c r="BJ39" i="1"/>
  <c r="BI35" i="4"/>
  <c r="BP22" i="4"/>
  <c r="BJ6" i="1"/>
  <c r="BH36" i="4"/>
  <c r="BH68" i="4" s="1"/>
  <c r="BJ38" i="1"/>
  <c r="BI34" i="4"/>
  <c r="BF8" i="3"/>
  <c r="BF10" i="3" s="1"/>
  <c r="BE15" i="4"/>
  <c r="BJ31" i="1"/>
  <c r="BJ33" i="3" s="1"/>
  <c r="BI24" i="4"/>
  <c r="BI26" i="4" s="1"/>
  <c r="BJ24" i="1"/>
  <c r="BJ14" i="4" s="1"/>
  <c r="BJ17" i="1"/>
  <c r="BI7" i="4"/>
  <c r="BJ22" i="1"/>
  <c r="BI12" i="4"/>
  <c r="BJ18" i="1"/>
  <c r="BI8" i="4"/>
  <c r="BJ19" i="1"/>
  <c r="BI9" i="4"/>
  <c r="BJ9" i="1"/>
  <c r="BK7" i="1"/>
  <c r="BK14" i="3" s="1"/>
  <c r="BJ30" i="4"/>
  <c r="AZ36" i="6" l="1"/>
  <c r="AZ6" i="8" s="1"/>
  <c r="AZ14" i="8" s="1"/>
  <c r="AZ25" i="8" s="1"/>
  <c r="AZ41" i="8" s="1"/>
  <c r="BK32" i="1"/>
  <c r="BJ25" i="4"/>
  <c r="BJ27" i="4" s="1"/>
  <c r="BJ24" i="3" s="1"/>
  <c r="BI29" i="3"/>
  <c r="BI7" i="3"/>
  <c r="BB26" i="6"/>
  <c r="BB27" i="6" s="1"/>
  <c r="BS42" i="3"/>
  <c r="BS31" i="3"/>
  <c r="BS32" i="3" s="1"/>
  <c r="BJ49" i="3"/>
  <c r="BG45" i="3"/>
  <c r="BG51" i="3" s="1"/>
  <c r="BK15" i="3"/>
  <c r="BK48" i="3" s="1"/>
  <c r="BK47" i="3"/>
  <c r="BT9" i="3"/>
  <c r="BT42" i="3" s="1"/>
  <c r="BH40" i="3"/>
  <c r="BH43" i="3" s="1"/>
  <c r="BI41" i="3" s="1"/>
  <c r="BH12" i="3"/>
  <c r="BH27" i="3"/>
  <c r="BI25" i="3" s="1"/>
  <c r="BC13" i="6"/>
  <c r="BC14" i="6" s="1"/>
  <c r="BG37" i="3"/>
  <c r="BH29" i="3"/>
  <c r="BH35" i="3" s="1"/>
  <c r="BC53" i="3"/>
  <c r="BD7" i="6"/>
  <c r="BD52" i="3"/>
  <c r="BD53" i="3" s="1"/>
  <c r="BT8" i="1"/>
  <c r="BT31" i="3" s="1"/>
  <c r="BT32" i="3" s="1"/>
  <c r="BW26" i="3"/>
  <c r="BX26" i="3"/>
  <c r="BY26" i="3"/>
  <c r="BZ26" i="3"/>
  <c r="BT53" i="1"/>
  <c r="BS76" i="4"/>
  <c r="BS75" i="4" s="1"/>
  <c r="BS55" i="4"/>
  <c r="BS58" i="4" s="1"/>
  <c r="BS22" i="6" s="1"/>
  <c r="BK57" i="1"/>
  <c r="BJ61" i="4"/>
  <c r="BS48" i="1"/>
  <c r="BR74" i="4"/>
  <c r="BR48" i="4"/>
  <c r="BQ49" i="4"/>
  <c r="BI18" i="6"/>
  <c r="BI64" i="4"/>
  <c r="BQ70" i="4"/>
  <c r="BS47" i="1"/>
  <c r="BR73" i="4"/>
  <c r="BR47" i="4"/>
  <c r="AY37" i="6"/>
  <c r="BG40" i="4"/>
  <c r="BG41" i="4" s="1"/>
  <c r="BG20" i="6" s="1"/>
  <c r="BG19" i="6" s="1"/>
  <c r="BG69" i="4"/>
  <c r="BG67" i="4" s="1"/>
  <c r="BD53" i="4"/>
  <c r="BD52" i="4"/>
  <c r="BC17" i="6"/>
  <c r="BC24" i="6" s="1"/>
  <c r="BC59" i="4"/>
  <c r="BE17" i="4"/>
  <c r="BE11" i="6" s="1"/>
  <c r="BE81" i="4"/>
  <c r="BE82" i="4" s="1"/>
  <c r="BD15" i="7"/>
  <c r="BD21" i="8" s="1"/>
  <c r="BD15" i="8" s="1"/>
  <c r="BE6" i="6"/>
  <c r="AZ37" i="6"/>
  <c r="AW6" i="8"/>
  <c r="AW37" i="6"/>
  <c r="AU42" i="8"/>
  <c r="AU43" i="8" s="1"/>
  <c r="AT33" i="7"/>
  <c r="AT35" i="7" s="1"/>
  <c r="AT37" i="7" s="1"/>
  <c r="AT38" i="7" s="1"/>
  <c r="AW8" i="7"/>
  <c r="AV9" i="7"/>
  <c r="BX8" i="7"/>
  <c r="BA13" i="6"/>
  <c r="BE42" i="4"/>
  <c r="BE32" i="4"/>
  <c r="BE16" i="6" s="1"/>
  <c r="BD18" i="4"/>
  <c r="BD10" i="4"/>
  <c r="BD10" i="6" s="1"/>
  <c r="BD12" i="6" s="1"/>
  <c r="BI6" i="4"/>
  <c r="BW9" i="3"/>
  <c r="BX9" i="3"/>
  <c r="BY9" i="3"/>
  <c r="BD21" i="3"/>
  <c r="BE20" i="3"/>
  <c r="BE11" i="4"/>
  <c r="BI16" i="3"/>
  <c r="BI31" i="4"/>
  <c r="BF18" i="3"/>
  <c r="BF29" i="4"/>
  <c r="BH37" i="4"/>
  <c r="BH39" i="4"/>
  <c r="BK6" i="1"/>
  <c r="BQ22" i="4"/>
  <c r="BK39" i="1"/>
  <c r="BJ35" i="4"/>
  <c r="BI36" i="4"/>
  <c r="BI68" i="4" s="1"/>
  <c r="BK38" i="1"/>
  <c r="BJ34" i="4"/>
  <c r="BK31" i="1"/>
  <c r="BK33" i="3" s="1"/>
  <c r="BJ24" i="4"/>
  <c r="BJ26" i="4" s="1"/>
  <c r="BG8" i="3"/>
  <c r="BG10" i="3" s="1"/>
  <c r="BF15" i="4"/>
  <c r="BK17" i="1"/>
  <c r="BJ7" i="4"/>
  <c r="BK19" i="1"/>
  <c r="BJ9" i="4"/>
  <c r="BK18" i="1"/>
  <c r="BJ8" i="4"/>
  <c r="BK22" i="1"/>
  <c r="BJ12" i="4"/>
  <c r="BK24" i="1"/>
  <c r="BK14" i="4" s="1"/>
  <c r="BK9" i="1"/>
  <c r="BL7" i="1"/>
  <c r="BL14" i="3" s="1"/>
  <c r="BK30" i="4"/>
  <c r="BL32" i="1" l="1"/>
  <c r="BK25" i="4"/>
  <c r="BK27" i="4" s="1"/>
  <c r="BK24" i="3" s="1"/>
  <c r="BB32" i="6"/>
  <c r="BB33" i="6" s="1"/>
  <c r="BJ7" i="3"/>
  <c r="BZ9" i="3"/>
  <c r="BH45" i="3"/>
  <c r="BH51" i="3" s="1"/>
  <c r="BK49" i="3"/>
  <c r="BL15" i="3"/>
  <c r="BL48" i="3" s="1"/>
  <c r="BL47" i="3"/>
  <c r="BI12" i="3"/>
  <c r="BI45" i="3" s="1"/>
  <c r="BI51" i="3" s="1"/>
  <c r="BI40" i="3"/>
  <c r="BI43" i="3" s="1"/>
  <c r="BJ41" i="3" s="1"/>
  <c r="BC26" i="6"/>
  <c r="BC27" i="6" s="1"/>
  <c r="BD13" i="6"/>
  <c r="BD14" i="6" s="1"/>
  <c r="BE7" i="6"/>
  <c r="BE52" i="3"/>
  <c r="BI27" i="3"/>
  <c r="BJ25" i="3" s="1"/>
  <c r="BH37" i="3"/>
  <c r="BH38" i="3" s="1"/>
  <c r="BG38" i="3"/>
  <c r="BR70" i="4"/>
  <c r="BW31" i="3"/>
  <c r="BX31" i="3"/>
  <c r="BY31" i="3"/>
  <c r="BZ31" i="3"/>
  <c r="BR49" i="4"/>
  <c r="BR21" i="6" s="1"/>
  <c r="BI35" i="3"/>
  <c r="BJ18" i="6"/>
  <c r="BJ64" i="4"/>
  <c r="BL57" i="1"/>
  <c r="BK61" i="4"/>
  <c r="BQ21" i="6"/>
  <c r="BT47" i="1"/>
  <c r="BS73" i="4"/>
  <c r="BS47" i="4"/>
  <c r="BT76" i="4"/>
  <c r="BT75" i="4" s="1"/>
  <c r="BT55" i="4"/>
  <c r="BT48" i="1"/>
  <c r="BS74" i="4"/>
  <c r="BS48" i="4"/>
  <c r="BH40" i="4"/>
  <c r="BH41" i="4" s="1"/>
  <c r="BH20" i="6" s="1"/>
  <c r="BH19" i="6" s="1"/>
  <c r="BH69" i="4"/>
  <c r="BH67" i="4" s="1"/>
  <c r="BE52" i="4"/>
  <c r="BE53" i="4"/>
  <c r="BD17" i="6"/>
  <c r="BD24" i="6" s="1"/>
  <c r="BD59" i="4"/>
  <c r="BF17" i="4"/>
  <c r="BF11" i="6" s="1"/>
  <c r="BF81" i="4"/>
  <c r="BF82" i="4" s="1"/>
  <c r="BF6" i="6"/>
  <c r="BE15" i="7"/>
  <c r="BE21" i="8" s="1"/>
  <c r="BE15" i="8" s="1"/>
  <c r="AV20" i="7"/>
  <c r="BX9" i="7"/>
  <c r="BX20" i="7" s="1"/>
  <c r="AX8" i="7"/>
  <c r="AW9" i="7"/>
  <c r="AW20" i="7" s="1"/>
  <c r="AV42" i="8"/>
  <c r="AV43" i="8" s="1"/>
  <c r="AU33" i="7"/>
  <c r="AU35" i="7" s="1"/>
  <c r="AU37" i="7" s="1"/>
  <c r="AU38" i="7" s="1"/>
  <c r="BA26" i="6"/>
  <c r="BA14" i="6"/>
  <c r="AW14" i="8"/>
  <c r="AW25" i="8" s="1"/>
  <c r="AW41" i="8" s="1"/>
  <c r="BF42" i="4"/>
  <c r="BF32" i="4"/>
  <c r="BF16" i="6" s="1"/>
  <c r="BB36" i="6"/>
  <c r="BE18" i="4"/>
  <c r="BE10" i="4"/>
  <c r="BE10" i="6" s="1"/>
  <c r="BI9" i="6"/>
  <c r="BJ6" i="4"/>
  <c r="BJ9" i="6" s="1"/>
  <c r="BE21" i="3"/>
  <c r="BF20" i="3"/>
  <c r="BF11" i="4"/>
  <c r="BG18" i="3"/>
  <c r="BG29" i="4"/>
  <c r="BJ16" i="3"/>
  <c r="BJ31" i="4"/>
  <c r="BI37" i="4"/>
  <c r="BI39" i="4"/>
  <c r="BL39" i="1"/>
  <c r="BK35" i="4"/>
  <c r="BL6" i="1"/>
  <c r="BR22" i="4"/>
  <c r="BJ36" i="4"/>
  <c r="BJ68" i="4" s="1"/>
  <c r="BL38" i="1"/>
  <c r="BK34" i="4"/>
  <c r="BH8" i="3"/>
  <c r="BH10" i="3" s="1"/>
  <c r="BG15" i="4"/>
  <c r="BK24" i="4"/>
  <c r="BK26" i="4" s="1"/>
  <c r="BL31" i="1"/>
  <c r="BL33" i="3" s="1"/>
  <c r="BL18" i="1"/>
  <c r="BK8" i="4"/>
  <c r="BL17" i="1"/>
  <c r="BK7" i="4"/>
  <c r="BL22" i="1"/>
  <c r="BK12" i="4"/>
  <c r="BL19" i="1"/>
  <c r="BK9" i="4"/>
  <c r="BL24" i="1"/>
  <c r="BL14" i="4" s="1"/>
  <c r="BL9" i="1"/>
  <c r="BM7" i="1"/>
  <c r="BM14" i="3" s="1"/>
  <c r="BL30" i="4"/>
  <c r="BM32" i="1" l="1"/>
  <c r="BL25" i="4"/>
  <c r="BL27" i="4" s="1"/>
  <c r="BL24" i="3" s="1"/>
  <c r="BK7" i="3"/>
  <c r="BL49" i="3"/>
  <c r="BD26" i="6"/>
  <c r="BD27" i="6" s="1"/>
  <c r="BC32" i="6"/>
  <c r="BC33" i="6" s="1"/>
  <c r="BJ12" i="3"/>
  <c r="BJ40" i="3"/>
  <c r="BJ43" i="3" s="1"/>
  <c r="BK41" i="3" s="1"/>
  <c r="BM15" i="3"/>
  <c r="BM48" i="3" s="1"/>
  <c r="BM47" i="3"/>
  <c r="BY37" i="3"/>
  <c r="BJ27" i="3"/>
  <c r="BK25" i="3" s="1"/>
  <c r="BI37" i="3"/>
  <c r="BI38" i="3" s="1"/>
  <c r="BJ29" i="3"/>
  <c r="BJ35" i="3" s="1"/>
  <c r="BF7" i="6"/>
  <c r="BF52" i="3"/>
  <c r="BF53" i="3" s="1"/>
  <c r="BE53" i="3"/>
  <c r="BS49" i="4"/>
  <c r="BS21" i="6" s="1"/>
  <c r="BW32" i="3"/>
  <c r="BX32" i="3"/>
  <c r="BY32" i="3"/>
  <c r="BT58" i="4"/>
  <c r="BX55" i="4"/>
  <c r="BY55" i="4"/>
  <c r="BZ55" i="4"/>
  <c r="BM57" i="1"/>
  <c r="BL61" i="4"/>
  <c r="BS70" i="4"/>
  <c r="BT73" i="4"/>
  <c r="BT47" i="4"/>
  <c r="BT74" i="4"/>
  <c r="BT48" i="4"/>
  <c r="BK18" i="6"/>
  <c r="BK64" i="4"/>
  <c r="BI40" i="4"/>
  <c r="BI41" i="4" s="1"/>
  <c r="BI20" i="6" s="1"/>
  <c r="BI69" i="4"/>
  <c r="BI67" i="4" s="1"/>
  <c r="BE17" i="6"/>
  <c r="BE24" i="6" s="1"/>
  <c r="BF52" i="4"/>
  <c r="BF53" i="4"/>
  <c r="BG17" i="4"/>
  <c r="BG11" i="6" s="1"/>
  <c r="BG81" i="4"/>
  <c r="BG82" i="4" s="1"/>
  <c r="BE59" i="4"/>
  <c r="BG6" i="6"/>
  <c r="BF15" i="7"/>
  <c r="BF21" i="8" s="1"/>
  <c r="BF15" i="8" s="1"/>
  <c r="BB37" i="6"/>
  <c r="BB6" i="8"/>
  <c r="BB14" i="8" s="1"/>
  <c r="BB25" i="8" s="1"/>
  <c r="BB41" i="8" s="1"/>
  <c r="BA27" i="6"/>
  <c r="BA32" i="6"/>
  <c r="AX9" i="7"/>
  <c r="AX20" i="7" s="1"/>
  <c r="AY8" i="7"/>
  <c r="AW42" i="8"/>
  <c r="AW43" i="8" s="1"/>
  <c r="AV33" i="7"/>
  <c r="BE12" i="6"/>
  <c r="BG42" i="4"/>
  <c r="BG32" i="4"/>
  <c r="BG16" i="6" s="1"/>
  <c r="BF18" i="4"/>
  <c r="BF10" i="4"/>
  <c r="BF10" i="6" s="1"/>
  <c r="BF12" i="6" s="1"/>
  <c r="BK6" i="4"/>
  <c r="BK9" i="6" s="1"/>
  <c r="BF21" i="3"/>
  <c r="BG20" i="3"/>
  <c r="BG11" i="4"/>
  <c r="BH18" i="3"/>
  <c r="BH29" i="4"/>
  <c r="BK16" i="3"/>
  <c r="BK31" i="4"/>
  <c r="BJ37" i="4"/>
  <c r="BJ39" i="4"/>
  <c r="BS22" i="4"/>
  <c r="BM6" i="1"/>
  <c r="BM39" i="1"/>
  <c r="BL35" i="4"/>
  <c r="BK36" i="4"/>
  <c r="BK68" i="4" s="1"/>
  <c r="BM38" i="1"/>
  <c r="BL34" i="4"/>
  <c r="BI8" i="3"/>
  <c r="BI10" i="3" s="1"/>
  <c r="BH15" i="4"/>
  <c r="BL24" i="4"/>
  <c r="BL26" i="4" s="1"/>
  <c r="BM31" i="1"/>
  <c r="BM33" i="3" s="1"/>
  <c r="BM22" i="1"/>
  <c r="BL12" i="4"/>
  <c r="BM19" i="1"/>
  <c r="BL9" i="4"/>
  <c r="BM24" i="1"/>
  <c r="BM14" i="4" s="1"/>
  <c r="BM17" i="1"/>
  <c r="BL7" i="4"/>
  <c r="BM18" i="1"/>
  <c r="BL8" i="4"/>
  <c r="BM9" i="1"/>
  <c r="BN7" i="1"/>
  <c r="BN14" i="3" s="1"/>
  <c r="BN47" i="3" s="1"/>
  <c r="BM30" i="4"/>
  <c r="BD32" i="6" l="1"/>
  <c r="BD33" i="6" s="1"/>
  <c r="BN32" i="1"/>
  <c r="BM25" i="4"/>
  <c r="BM27" i="4" s="1"/>
  <c r="BM24" i="3" s="1"/>
  <c r="BC36" i="6"/>
  <c r="BC6" i="8" s="1"/>
  <c r="BC14" i="8" s="1"/>
  <c r="BC25" i="8" s="1"/>
  <c r="BC41" i="8" s="1"/>
  <c r="BL29" i="3"/>
  <c r="BL7" i="3"/>
  <c r="BK12" i="3"/>
  <c r="BK40" i="3"/>
  <c r="BK43" i="3" s="1"/>
  <c r="BL41" i="3" s="1"/>
  <c r="BM49" i="3"/>
  <c r="BJ45" i="3"/>
  <c r="BJ51" i="3" s="1"/>
  <c r="BK27" i="3"/>
  <c r="BL25" i="3" s="1"/>
  <c r="BJ37" i="3"/>
  <c r="BJ38" i="3" s="1"/>
  <c r="BG7" i="6"/>
  <c r="BG52" i="3"/>
  <c r="BG53" i="3" s="1"/>
  <c r="BK29" i="3"/>
  <c r="BK35" i="3" s="1"/>
  <c r="BF13" i="6"/>
  <c r="BF14" i="6" s="1"/>
  <c r="BW33" i="3"/>
  <c r="BX33" i="3"/>
  <c r="BY33" i="3"/>
  <c r="BT70" i="4"/>
  <c r="BL18" i="6"/>
  <c r="BL64" i="4"/>
  <c r="BN57" i="1"/>
  <c r="BM61" i="4"/>
  <c r="BX47" i="4"/>
  <c r="BY47" i="4"/>
  <c r="BT49" i="4"/>
  <c r="BZ47" i="4"/>
  <c r="BT22" i="6"/>
  <c r="BX58" i="4"/>
  <c r="BY58" i="4"/>
  <c r="BZ58" i="4"/>
  <c r="BX48" i="4"/>
  <c r="BY48" i="4"/>
  <c r="BZ48" i="4"/>
  <c r="BT22" i="4"/>
  <c r="BZ22" i="4" s="1"/>
  <c r="BV29" i="1"/>
  <c r="BW29" i="1"/>
  <c r="BX29" i="1"/>
  <c r="BY29" i="1"/>
  <c r="BZ29" i="1"/>
  <c r="BJ40" i="4"/>
  <c r="BJ41" i="4" s="1"/>
  <c r="BJ20" i="6" s="1"/>
  <c r="BJ19" i="6" s="1"/>
  <c r="BJ69" i="4"/>
  <c r="BJ67" i="4" s="1"/>
  <c r="BF17" i="6"/>
  <c r="BF24" i="6" s="1"/>
  <c r="BF59" i="4"/>
  <c r="BH17" i="4"/>
  <c r="BH11" i="6" s="1"/>
  <c r="BH81" i="4"/>
  <c r="BH82" i="4" s="1"/>
  <c r="BG52" i="4"/>
  <c r="BG53" i="4"/>
  <c r="BH6" i="6"/>
  <c r="BG15" i="7"/>
  <c r="BG21" i="8" s="1"/>
  <c r="BG15" i="8" s="1"/>
  <c r="AX42" i="8"/>
  <c r="AX43" i="8" s="1"/>
  <c r="AW33" i="7"/>
  <c r="AW35" i="7" s="1"/>
  <c r="AW37" i="7" s="1"/>
  <c r="AW38" i="7" s="1"/>
  <c r="BI19" i="6"/>
  <c r="BA33" i="6"/>
  <c r="BA36" i="6"/>
  <c r="BE13" i="6"/>
  <c r="AY9" i="7"/>
  <c r="AY20" i="7" s="1"/>
  <c r="AZ8" i="7"/>
  <c r="AV35" i="7"/>
  <c r="AV37" i="7" s="1"/>
  <c r="AV38" i="7" s="1"/>
  <c r="BX33" i="7"/>
  <c r="BX35" i="7" s="1"/>
  <c r="BX37" i="7" s="1"/>
  <c r="BX38" i="7" s="1"/>
  <c r="BH42" i="4"/>
  <c r="BH32" i="4"/>
  <c r="BH16" i="6" s="1"/>
  <c r="BV22" i="4"/>
  <c r="BW22" i="4"/>
  <c r="BX22" i="4"/>
  <c r="BY22" i="4"/>
  <c r="BG18" i="4"/>
  <c r="BG10" i="4"/>
  <c r="BG10" i="6" s="1"/>
  <c r="BG12" i="6" s="1"/>
  <c r="BL6" i="4"/>
  <c r="BG21" i="3"/>
  <c r="BN15" i="3"/>
  <c r="BN48" i="3" s="1"/>
  <c r="BN49" i="3" s="1"/>
  <c r="BH11" i="4"/>
  <c r="BH20" i="3"/>
  <c r="BI18" i="3"/>
  <c r="BI29" i="4"/>
  <c r="BI32" i="4" s="1"/>
  <c r="BI16" i="6" s="1"/>
  <c r="BL16" i="3"/>
  <c r="BL31" i="4"/>
  <c r="BK37" i="4"/>
  <c r="BK39" i="4"/>
  <c r="BN6" i="1"/>
  <c r="BN39" i="1"/>
  <c r="BM35" i="4"/>
  <c r="BL36" i="4"/>
  <c r="BL68" i="4" s="1"/>
  <c r="BN38" i="1"/>
  <c r="BM34" i="4"/>
  <c r="BN31" i="1"/>
  <c r="BM24" i="4"/>
  <c r="BM26" i="4" s="1"/>
  <c r="BJ8" i="3"/>
  <c r="BJ10" i="3" s="1"/>
  <c r="BI15" i="4"/>
  <c r="BN17" i="1"/>
  <c r="BM7" i="4"/>
  <c r="BN24" i="1"/>
  <c r="BN14" i="4" s="1"/>
  <c r="BN18" i="1"/>
  <c r="BM8" i="4"/>
  <c r="BN19" i="1"/>
  <c r="BM9" i="4"/>
  <c r="BN22" i="1"/>
  <c r="BM12" i="4"/>
  <c r="BN9" i="1"/>
  <c r="BO7" i="1"/>
  <c r="BO14" i="3" s="1"/>
  <c r="BN30" i="4"/>
  <c r="BD36" i="6" l="1"/>
  <c r="BC37" i="6"/>
  <c r="BO32" i="1"/>
  <c r="BN25" i="4"/>
  <c r="BN27" i="4" s="1"/>
  <c r="BN24" i="3" s="1"/>
  <c r="BM7" i="3"/>
  <c r="BL12" i="3"/>
  <c r="BL45" i="3" s="1"/>
  <c r="BL51" i="3" s="1"/>
  <c r="BL40" i="3"/>
  <c r="BL43" i="3" s="1"/>
  <c r="BM41" i="3" s="1"/>
  <c r="BK45" i="3"/>
  <c r="BK51" i="3" s="1"/>
  <c r="BO15" i="3"/>
  <c r="BO48" i="3" s="1"/>
  <c r="BO47" i="3"/>
  <c r="BF26" i="6"/>
  <c r="BF27" i="6" s="1"/>
  <c r="BG13" i="6"/>
  <c r="BG14" i="6" s="1"/>
  <c r="BL27" i="3"/>
  <c r="BM25" i="3" s="1"/>
  <c r="BK37" i="3"/>
  <c r="BK38" i="3" s="1"/>
  <c r="BH7" i="6"/>
  <c r="BH52" i="3"/>
  <c r="BH53" i="3" s="1"/>
  <c r="BN33" i="3"/>
  <c r="BL35" i="3"/>
  <c r="BL37" i="3" s="1"/>
  <c r="BL38" i="3" s="1"/>
  <c r="BM18" i="6"/>
  <c r="BM64" i="4"/>
  <c r="BV22" i="6"/>
  <c r="BW22" i="6"/>
  <c r="BX22" i="6"/>
  <c r="BY22" i="6"/>
  <c r="BZ22" i="6"/>
  <c r="BO57" i="1"/>
  <c r="BN61" i="4"/>
  <c r="BT21" i="6"/>
  <c r="BX49" i="4"/>
  <c r="BY49" i="4"/>
  <c r="BZ49" i="4"/>
  <c r="BK40" i="4"/>
  <c r="BK41" i="4" s="1"/>
  <c r="BK20" i="6" s="1"/>
  <c r="BK69" i="4"/>
  <c r="BK67" i="4" s="1"/>
  <c r="BI17" i="4"/>
  <c r="BI11" i="6" s="1"/>
  <c r="BI81" i="4"/>
  <c r="BI82" i="4" s="1"/>
  <c r="BG17" i="6"/>
  <c r="BG24" i="6" s="1"/>
  <c r="BG59" i="4"/>
  <c r="BH53" i="4"/>
  <c r="BH52" i="4"/>
  <c r="BI6" i="6"/>
  <c r="BH15" i="7"/>
  <c r="BH21" i="8" s="1"/>
  <c r="BH15" i="8" s="1"/>
  <c r="BA6" i="8"/>
  <c r="BA37" i="6"/>
  <c r="BA8" i="7"/>
  <c r="AZ9" i="7"/>
  <c r="AZ20" i="7" s="1"/>
  <c r="BD6" i="8"/>
  <c r="BD14" i="8" s="1"/>
  <c r="BD25" i="8" s="1"/>
  <c r="BD41" i="8" s="1"/>
  <c r="BD37" i="6"/>
  <c r="BE26" i="6"/>
  <c r="BE14" i="6"/>
  <c r="AY42" i="8"/>
  <c r="AY43" i="8" s="1"/>
  <c r="AX33" i="7"/>
  <c r="AX35" i="7" s="1"/>
  <c r="AX37" i="7" s="1"/>
  <c r="AX38" i="7" s="1"/>
  <c r="BI42" i="4"/>
  <c r="BL9" i="6"/>
  <c r="BH18" i="4"/>
  <c r="BH10" i="4"/>
  <c r="BH10" i="6" s="1"/>
  <c r="BH12" i="6" s="1"/>
  <c r="BM6" i="4"/>
  <c r="BM9" i="6" s="1"/>
  <c r="BH21" i="3"/>
  <c r="BI11" i="4"/>
  <c r="BI20" i="3"/>
  <c r="BJ18" i="3"/>
  <c r="BJ29" i="4"/>
  <c r="BM16" i="3"/>
  <c r="BM31" i="4"/>
  <c r="BL37" i="4"/>
  <c r="BL39" i="4"/>
  <c r="BO39" i="1"/>
  <c r="BN35" i="4"/>
  <c r="BO6" i="1"/>
  <c r="BM36" i="4"/>
  <c r="BM68" i="4" s="1"/>
  <c r="BO38" i="1"/>
  <c r="BN34" i="4"/>
  <c r="BK8" i="3"/>
  <c r="BK10" i="3" s="1"/>
  <c r="BJ15" i="4"/>
  <c r="BO31" i="1"/>
  <c r="BO33" i="3" s="1"/>
  <c r="BN24" i="4"/>
  <c r="BN26" i="4" s="1"/>
  <c r="BO19" i="1"/>
  <c r="BN9" i="4"/>
  <c r="BO18" i="1"/>
  <c r="BN8" i="4"/>
  <c r="BO24" i="1"/>
  <c r="BO14" i="4" s="1"/>
  <c r="BO22" i="1"/>
  <c r="BN12" i="4"/>
  <c r="BO17" i="1"/>
  <c r="BN7" i="4"/>
  <c r="BO9" i="1"/>
  <c r="BP7" i="1"/>
  <c r="BP14" i="3" s="1"/>
  <c r="BO30" i="4"/>
  <c r="BP32" i="1" l="1"/>
  <c r="BO25" i="4"/>
  <c r="BO27" i="4" s="1"/>
  <c r="BO24" i="3" s="1"/>
  <c r="BN7" i="3"/>
  <c r="BO49" i="3"/>
  <c r="BM12" i="3"/>
  <c r="BM40" i="3"/>
  <c r="BM43" i="3" s="1"/>
  <c r="BN41" i="3" s="1"/>
  <c r="BP15" i="3"/>
  <c r="BP48" i="3" s="1"/>
  <c r="BP47" i="3"/>
  <c r="BG26" i="6"/>
  <c r="BG27" i="6" s="1"/>
  <c r="BF32" i="6"/>
  <c r="BF33" i="6" s="1"/>
  <c r="BH13" i="6"/>
  <c r="BH14" i="6" s="1"/>
  <c r="BM29" i="3"/>
  <c r="BM35" i="3" s="1"/>
  <c r="BI7" i="6"/>
  <c r="BI52" i="3"/>
  <c r="BM27" i="3"/>
  <c r="BN25" i="3" s="1"/>
  <c r="BV21" i="6"/>
  <c r="BW21" i="6"/>
  <c r="BX21" i="6"/>
  <c r="BY21" i="6"/>
  <c r="BZ21" i="6"/>
  <c r="BN18" i="6"/>
  <c r="BN64" i="4"/>
  <c r="BP57" i="1"/>
  <c r="BO61" i="4"/>
  <c r="BL40" i="4"/>
  <c r="BL41" i="4" s="1"/>
  <c r="BL20" i="6" s="1"/>
  <c r="BL19" i="6" s="1"/>
  <c r="BL69" i="4"/>
  <c r="BL67" i="4" s="1"/>
  <c r="BH17" i="6"/>
  <c r="BH24" i="6" s="1"/>
  <c r="BH59" i="4"/>
  <c r="BJ17" i="4"/>
  <c r="BJ11" i="6" s="1"/>
  <c r="BJ81" i="4"/>
  <c r="BJ82" i="4" s="1"/>
  <c r="BI52" i="4"/>
  <c r="BI53" i="4"/>
  <c r="BJ6" i="6"/>
  <c r="BI15" i="7"/>
  <c r="BI21" i="8" s="1"/>
  <c r="AZ42" i="8"/>
  <c r="AZ43" i="8" s="1"/>
  <c r="AY33" i="7"/>
  <c r="AY35" i="7" s="1"/>
  <c r="AY37" i="7" s="1"/>
  <c r="AY38" i="7" s="1"/>
  <c r="BK19" i="6"/>
  <c r="BE27" i="6"/>
  <c r="BE32" i="6"/>
  <c r="BB8" i="7"/>
  <c r="BA9" i="7"/>
  <c r="BA20" i="7" s="1"/>
  <c r="BY12" i="6"/>
  <c r="BA14" i="8"/>
  <c r="BA25" i="8" s="1"/>
  <c r="BA41" i="8" s="1"/>
  <c r="BJ42" i="4"/>
  <c r="BJ32" i="4"/>
  <c r="BJ16" i="6" s="1"/>
  <c r="BI18" i="4"/>
  <c r="BI10" i="4"/>
  <c r="BN6" i="4"/>
  <c r="BI21" i="3"/>
  <c r="BJ20" i="3"/>
  <c r="BJ11" i="4"/>
  <c r="BK18" i="3"/>
  <c r="BK29" i="4"/>
  <c r="BN16" i="3"/>
  <c r="BN31" i="4"/>
  <c r="BM37" i="4"/>
  <c r="BM39" i="4"/>
  <c r="BP6" i="1"/>
  <c r="BP39" i="1"/>
  <c r="BO35" i="4"/>
  <c r="BN36" i="4"/>
  <c r="BN68" i="4" s="1"/>
  <c r="BP38" i="1"/>
  <c r="BO34" i="4"/>
  <c r="BO24" i="4"/>
  <c r="BO26" i="4" s="1"/>
  <c r="BP31" i="1"/>
  <c r="BP33" i="3" s="1"/>
  <c r="BL8" i="3"/>
  <c r="BL10" i="3" s="1"/>
  <c r="BK15" i="4"/>
  <c r="BP17" i="1"/>
  <c r="BO7" i="4"/>
  <c r="BP22" i="1"/>
  <c r="BO12" i="4"/>
  <c r="BP24" i="1"/>
  <c r="BP14" i="4" s="1"/>
  <c r="BP18" i="1"/>
  <c r="BO8" i="4"/>
  <c r="BP19" i="1"/>
  <c r="BO9" i="4"/>
  <c r="BP9" i="1"/>
  <c r="BQ7" i="1"/>
  <c r="BQ14" i="3" s="1"/>
  <c r="BP30" i="4"/>
  <c r="BQ32" i="1" l="1"/>
  <c r="BP25" i="4"/>
  <c r="BP27" i="4" s="1"/>
  <c r="BP24" i="3" s="1"/>
  <c r="BO7" i="3"/>
  <c r="BM45" i="3"/>
  <c r="BM51" i="3" s="1"/>
  <c r="BG32" i="6"/>
  <c r="BG33" i="6" s="1"/>
  <c r="BQ15" i="3"/>
  <c r="BQ48" i="3" s="1"/>
  <c r="BQ47" i="3"/>
  <c r="BP49" i="3"/>
  <c r="BN12" i="3"/>
  <c r="BN40" i="3"/>
  <c r="BN43" i="3" s="1"/>
  <c r="BO41" i="3" s="1"/>
  <c r="BF36" i="6"/>
  <c r="BF6" i="8" s="1"/>
  <c r="BF14" i="8" s="1"/>
  <c r="BF25" i="8" s="1"/>
  <c r="BF41" i="8" s="1"/>
  <c r="BH26" i="6"/>
  <c r="BH27" i="6" s="1"/>
  <c r="BM37" i="3"/>
  <c r="BJ7" i="6"/>
  <c r="BJ52" i="3"/>
  <c r="BJ53" i="3" s="1"/>
  <c r="BN29" i="3"/>
  <c r="BN35" i="3" s="1"/>
  <c r="BN37" i="3" s="1"/>
  <c r="BN38" i="3" s="1"/>
  <c r="BI53" i="3"/>
  <c r="BN27" i="3"/>
  <c r="BO25" i="3" s="1"/>
  <c r="BQ57" i="1"/>
  <c r="BP61" i="4"/>
  <c r="BO18" i="6"/>
  <c r="BO64" i="4"/>
  <c r="BM40" i="4"/>
  <c r="BM41" i="4" s="1"/>
  <c r="BM20" i="6" s="1"/>
  <c r="BM69" i="4"/>
  <c r="BM67" i="4" s="1"/>
  <c r="BK17" i="4"/>
  <c r="BK11" i="6" s="1"/>
  <c r="BK81" i="4"/>
  <c r="BK82" i="4" s="1"/>
  <c r="BI17" i="6"/>
  <c r="BI59" i="4"/>
  <c r="BJ53" i="4"/>
  <c r="BJ52" i="4"/>
  <c r="BI15" i="8"/>
  <c r="BJ15" i="7"/>
  <c r="BJ21" i="8" s="1"/>
  <c r="BJ15" i="8" s="1"/>
  <c r="BA42" i="8"/>
  <c r="BA43" i="8" s="1"/>
  <c r="AZ33" i="7"/>
  <c r="AZ35" i="7" s="1"/>
  <c r="AZ37" i="7" s="1"/>
  <c r="AZ38" i="7" s="1"/>
  <c r="BB9" i="7"/>
  <c r="BB20" i="7" s="1"/>
  <c r="BC8" i="7"/>
  <c r="BE33" i="6"/>
  <c r="BE36" i="6"/>
  <c r="BK42" i="4"/>
  <c r="BK32" i="4"/>
  <c r="BK16" i="6" s="1"/>
  <c r="BI10" i="6"/>
  <c r="BK11" i="4"/>
  <c r="BK10" i="4" s="1"/>
  <c r="BK10" i="6" s="1"/>
  <c r="BK6" i="6"/>
  <c r="BJ18" i="4"/>
  <c r="BJ10" i="4"/>
  <c r="BJ10" i="6" s="1"/>
  <c r="BJ12" i="6" s="1"/>
  <c r="BN9" i="6"/>
  <c r="BO6" i="4"/>
  <c r="BO9" i="6" s="1"/>
  <c r="BJ21" i="3"/>
  <c r="BK20" i="3"/>
  <c r="BO16" i="3"/>
  <c r="BO31" i="4"/>
  <c r="BL18" i="3"/>
  <c r="BL29" i="4"/>
  <c r="BL32" i="4" s="1"/>
  <c r="BL16" i="6" s="1"/>
  <c r="BN37" i="4"/>
  <c r="BN39" i="4"/>
  <c r="BQ39" i="1"/>
  <c r="BP35" i="4"/>
  <c r="BQ6" i="1"/>
  <c r="BO36" i="4"/>
  <c r="BO68" i="4" s="1"/>
  <c r="BQ38" i="1"/>
  <c r="BP34" i="4"/>
  <c r="BM8" i="3"/>
  <c r="BM10" i="3" s="1"/>
  <c r="BL15" i="4"/>
  <c r="BP24" i="4"/>
  <c r="BP26" i="4" s="1"/>
  <c r="BQ31" i="1"/>
  <c r="BQ33" i="3" s="1"/>
  <c r="BQ18" i="1"/>
  <c r="BP8" i="4"/>
  <c r="BQ24" i="1"/>
  <c r="BQ14" i="4" s="1"/>
  <c r="BQ22" i="1"/>
  <c r="BP12" i="4"/>
  <c r="BQ17" i="1"/>
  <c r="BP7" i="4"/>
  <c r="BQ19" i="1"/>
  <c r="BP9" i="4"/>
  <c r="BQ9" i="1"/>
  <c r="BR7" i="1"/>
  <c r="BR14" i="3" s="1"/>
  <c r="BQ30" i="4"/>
  <c r="BG36" i="6" l="1"/>
  <c r="BR32" i="1"/>
  <c r="BQ25" i="4"/>
  <c r="BQ27" i="4" s="1"/>
  <c r="BQ24" i="3" s="1"/>
  <c r="BH32" i="6"/>
  <c r="BH33" i="6" s="1"/>
  <c r="BP7" i="3"/>
  <c r="BP29" i="3"/>
  <c r="BP35" i="3" s="1"/>
  <c r="BQ49" i="3"/>
  <c r="BN45" i="3"/>
  <c r="BN51" i="3" s="1"/>
  <c r="BF37" i="6"/>
  <c r="BR15" i="3"/>
  <c r="BR48" i="3" s="1"/>
  <c r="BR47" i="3"/>
  <c r="BO12" i="3"/>
  <c r="BO40" i="3"/>
  <c r="BO43" i="3" s="1"/>
  <c r="BP41" i="3" s="1"/>
  <c r="BK7" i="6"/>
  <c r="BK52" i="3"/>
  <c r="BK53" i="3" s="1"/>
  <c r="BO29" i="3"/>
  <c r="BO35" i="3" s="1"/>
  <c r="BO37" i="3" s="1"/>
  <c r="BJ13" i="6"/>
  <c r="BJ14" i="6" s="1"/>
  <c r="BM38" i="3"/>
  <c r="BO27" i="3"/>
  <c r="BP25" i="3" s="1"/>
  <c r="BP18" i="6"/>
  <c r="BP64" i="4"/>
  <c r="BR57" i="1"/>
  <c r="BQ61" i="4"/>
  <c r="BX50" i="4"/>
  <c r="BY50" i="4"/>
  <c r="BK12" i="6"/>
  <c r="BN40" i="4"/>
  <c r="BN41" i="4" s="1"/>
  <c r="BN20" i="6" s="1"/>
  <c r="BN19" i="6" s="1"/>
  <c r="BN69" i="4"/>
  <c r="BN67" i="4" s="1"/>
  <c r="BJ17" i="6"/>
  <c r="BJ24" i="6" s="1"/>
  <c r="BJ59" i="4"/>
  <c r="BK53" i="4"/>
  <c r="BK52" i="4"/>
  <c r="BI24" i="6"/>
  <c r="BL17" i="4"/>
  <c r="BL11" i="6" s="1"/>
  <c r="BL81" i="4"/>
  <c r="BL82" i="4" s="1"/>
  <c r="BL6" i="6"/>
  <c r="BK15" i="7"/>
  <c r="BK21" i="8" s="1"/>
  <c r="BK15" i="8" s="1"/>
  <c r="BC9" i="7"/>
  <c r="BC20" i="7" s="1"/>
  <c r="BD8" i="7"/>
  <c r="BB42" i="8"/>
  <c r="BB43" i="8" s="1"/>
  <c r="BA33" i="7"/>
  <c r="BA35" i="7" s="1"/>
  <c r="BA37" i="7" s="1"/>
  <c r="BA38" i="7" s="1"/>
  <c r="BI12" i="6"/>
  <c r="BG6" i="8"/>
  <c r="BG14" i="8" s="1"/>
  <c r="BG25" i="8" s="1"/>
  <c r="BG41" i="8" s="1"/>
  <c r="BG37" i="6"/>
  <c r="BM19" i="6"/>
  <c r="BE6" i="8"/>
  <c r="BE37" i="6"/>
  <c r="BK18" i="4"/>
  <c r="BL42" i="4"/>
  <c r="BP6" i="4"/>
  <c r="BP9" i="6" s="1"/>
  <c r="BK21" i="3"/>
  <c r="BL20" i="3"/>
  <c r="BL11" i="4"/>
  <c r="BP16" i="3"/>
  <c r="BP31" i="4"/>
  <c r="BM18" i="3"/>
  <c r="BM29" i="4"/>
  <c r="BO37" i="4"/>
  <c r="BO39" i="4"/>
  <c r="BR6" i="1"/>
  <c r="BR39" i="1"/>
  <c r="BQ35" i="4"/>
  <c r="BP36" i="4"/>
  <c r="BP68" i="4" s="1"/>
  <c r="BR38" i="1"/>
  <c r="BQ34" i="4"/>
  <c r="BN8" i="3"/>
  <c r="BN10" i="3" s="1"/>
  <c r="BM15" i="4"/>
  <c r="BR31" i="1"/>
  <c r="BR33" i="3" s="1"/>
  <c r="BQ24" i="4"/>
  <c r="BQ26" i="4" s="1"/>
  <c r="BR17" i="1"/>
  <c r="BQ7" i="4"/>
  <c r="BR22" i="1"/>
  <c r="BQ12" i="4"/>
  <c r="BR19" i="1"/>
  <c r="BQ9" i="4"/>
  <c r="BR24" i="1"/>
  <c r="BR14" i="4" s="1"/>
  <c r="BR18" i="1"/>
  <c r="BQ8" i="4"/>
  <c r="BR9" i="1"/>
  <c r="BS7" i="1"/>
  <c r="BS14" i="3" s="1"/>
  <c r="BR30" i="4"/>
  <c r="BH36" i="6" l="1"/>
  <c r="BS32" i="1"/>
  <c r="BR25" i="4"/>
  <c r="BR27" i="4" s="1"/>
  <c r="BR24" i="3" s="1"/>
  <c r="BR49" i="3"/>
  <c r="BQ7" i="3"/>
  <c r="BO45" i="3"/>
  <c r="BO51" i="3" s="1"/>
  <c r="BP12" i="3"/>
  <c r="BP45" i="3" s="1"/>
  <c r="BP51" i="3" s="1"/>
  <c r="BP40" i="3"/>
  <c r="BP43" i="3" s="1"/>
  <c r="BQ41" i="3" s="1"/>
  <c r="BK13" i="6"/>
  <c r="BK14" i="6" s="1"/>
  <c r="BS15" i="3"/>
  <c r="BS48" i="3" s="1"/>
  <c r="BS47" i="3"/>
  <c r="BP27" i="3"/>
  <c r="BQ25" i="3" s="1"/>
  <c r="BO38" i="3"/>
  <c r="BJ26" i="6"/>
  <c r="BJ27" i="6" s="1"/>
  <c r="BL7" i="6"/>
  <c r="BL52" i="3"/>
  <c r="BP37" i="3"/>
  <c r="BP38" i="3" s="1"/>
  <c r="BQ18" i="6"/>
  <c r="BQ64" i="4"/>
  <c r="BS57" i="1"/>
  <c r="BR61" i="4"/>
  <c r="BO40" i="4"/>
  <c r="BO41" i="4" s="1"/>
  <c r="BO20" i="6" s="1"/>
  <c r="BO19" i="6" s="1"/>
  <c r="BO69" i="4"/>
  <c r="BO67" i="4" s="1"/>
  <c r="BK17" i="6"/>
  <c r="BK59" i="4"/>
  <c r="BM17" i="4"/>
  <c r="BM11" i="6" s="1"/>
  <c r="BM81" i="4"/>
  <c r="BM82" i="4" s="1"/>
  <c r="BL53" i="4"/>
  <c r="BL52" i="4"/>
  <c r="BM6" i="6"/>
  <c r="BL15" i="7"/>
  <c r="BL21" i="8" s="1"/>
  <c r="BL15" i="8" s="1"/>
  <c r="BE14" i="8"/>
  <c r="BE25" i="8" s="1"/>
  <c r="BE41" i="8" s="1"/>
  <c r="BI13" i="6"/>
  <c r="BD9" i="7"/>
  <c r="BD20" i="7" s="1"/>
  <c r="BE8" i="7"/>
  <c r="BH6" i="8"/>
  <c r="BH14" i="8" s="1"/>
  <c r="BH25" i="8" s="1"/>
  <c r="BH41" i="8" s="1"/>
  <c r="BH37" i="6"/>
  <c r="BC42" i="8"/>
  <c r="BC43" i="8" s="1"/>
  <c r="BB33" i="7"/>
  <c r="BB35" i="7" s="1"/>
  <c r="BB37" i="7" s="1"/>
  <c r="BB38" i="7" s="1"/>
  <c r="BM42" i="4"/>
  <c r="BM32" i="4"/>
  <c r="BM16" i="6" s="1"/>
  <c r="BQ6" i="4"/>
  <c r="BQ9" i="6" s="1"/>
  <c r="BL18" i="4"/>
  <c r="BL10" i="4"/>
  <c r="BL21" i="3"/>
  <c r="BM20" i="3"/>
  <c r="BM11" i="4"/>
  <c r="BN18" i="3"/>
  <c r="BN29" i="4"/>
  <c r="BQ16" i="3"/>
  <c r="BQ31" i="4"/>
  <c r="BP37" i="4"/>
  <c r="BP39" i="4"/>
  <c r="BS39" i="1"/>
  <c r="BR35" i="4"/>
  <c r="BS6" i="1"/>
  <c r="BQ36" i="4"/>
  <c r="BQ68" i="4" s="1"/>
  <c r="BS38" i="1"/>
  <c r="BR34" i="4"/>
  <c r="BO8" i="3"/>
  <c r="BO10" i="3" s="1"/>
  <c r="BN15" i="4"/>
  <c r="BR24" i="4"/>
  <c r="BR26" i="4" s="1"/>
  <c r="BS31" i="1"/>
  <c r="BS33" i="3" s="1"/>
  <c r="BS19" i="1"/>
  <c r="BR9" i="4"/>
  <c r="BS22" i="1"/>
  <c r="BR12" i="4"/>
  <c r="BS17" i="1"/>
  <c r="BR7" i="4"/>
  <c r="BS18" i="1"/>
  <c r="BR8" i="4"/>
  <c r="BS24" i="1"/>
  <c r="BS14" i="4" s="1"/>
  <c r="BS9" i="1"/>
  <c r="BT7" i="1"/>
  <c r="BT14" i="3" s="1"/>
  <c r="BT47" i="3" s="1"/>
  <c r="BS30" i="4"/>
  <c r="BT32" i="1" l="1"/>
  <c r="BT25" i="4" s="1"/>
  <c r="BT27" i="4" s="1"/>
  <c r="BT24" i="3" s="1"/>
  <c r="BS25" i="4"/>
  <c r="BS27" i="4" s="1"/>
  <c r="BS24" i="3" s="1"/>
  <c r="BR7" i="3"/>
  <c r="BS49" i="3"/>
  <c r="BQ12" i="3"/>
  <c r="BQ40" i="3"/>
  <c r="BQ43" i="3" s="1"/>
  <c r="BR41" i="3" s="1"/>
  <c r="BJ32" i="6"/>
  <c r="BJ33" i="6" s="1"/>
  <c r="BQ29" i="3"/>
  <c r="BQ35" i="3" s="1"/>
  <c r="BQ37" i="3" s="1"/>
  <c r="BQ38" i="3" s="1"/>
  <c r="BL53" i="3"/>
  <c r="BM7" i="6"/>
  <c r="BM52" i="3"/>
  <c r="BM53" i="3" s="1"/>
  <c r="BQ27" i="3"/>
  <c r="BR25" i="3" s="1"/>
  <c r="BR18" i="6"/>
  <c r="BR64" i="4"/>
  <c r="BT57" i="1"/>
  <c r="BS61" i="4"/>
  <c r="BP40" i="4"/>
  <c r="BP41" i="4" s="1"/>
  <c r="BP20" i="6" s="1"/>
  <c r="BP19" i="6" s="1"/>
  <c r="BP69" i="4"/>
  <c r="BP67" i="4" s="1"/>
  <c r="BM52" i="4"/>
  <c r="BM53" i="4"/>
  <c r="BN17" i="4"/>
  <c r="BN11" i="6" s="1"/>
  <c r="BN81" i="4"/>
  <c r="BN82" i="4" s="1"/>
  <c r="BK24" i="6"/>
  <c r="BK26" i="6" s="1"/>
  <c r="BL17" i="6"/>
  <c r="BL24" i="6" s="1"/>
  <c r="BL59" i="4"/>
  <c r="BN6" i="6"/>
  <c r="BM15" i="7"/>
  <c r="BM21" i="8" s="1"/>
  <c r="BY6" i="8"/>
  <c r="BY14" i="8" s="1"/>
  <c r="BD42" i="8"/>
  <c r="BD43" i="8" s="1"/>
  <c r="BC33" i="7"/>
  <c r="BC35" i="7" s="1"/>
  <c r="BC37" i="7" s="1"/>
  <c r="BC38" i="7" s="1"/>
  <c r="BI26" i="6"/>
  <c r="BI14" i="6"/>
  <c r="BF8" i="7"/>
  <c r="BE9" i="7"/>
  <c r="BE20" i="7" s="1"/>
  <c r="BN42" i="4"/>
  <c r="BN32" i="4"/>
  <c r="BN16" i="6" s="1"/>
  <c r="BM18" i="4"/>
  <c r="BM10" i="4"/>
  <c r="BM10" i="6" s="1"/>
  <c r="BM12" i="6" s="1"/>
  <c r="BL10" i="6"/>
  <c r="BR6" i="4"/>
  <c r="BR9" i="6" s="1"/>
  <c r="BM21" i="3"/>
  <c r="BT15" i="3"/>
  <c r="BT48" i="3" s="1"/>
  <c r="BT49" i="3" s="1"/>
  <c r="BW14" i="3"/>
  <c r="BX14" i="3"/>
  <c r="BY14" i="3"/>
  <c r="BZ14" i="3"/>
  <c r="BN11" i="4"/>
  <c r="BN20" i="3"/>
  <c r="BR16" i="3"/>
  <c r="BR31" i="4"/>
  <c r="BO18" i="3"/>
  <c r="BO29" i="4"/>
  <c r="BQ37" i="4"/>
  <c r="BQ39" i="4"/>
  <c r="BT6" i="1"/>
  <c r="BT39" i="1"/>
  <c r="BT35" i="4" s="1"/>
  <c r="BS35" i="4"/>
  <c r="BR36" i="4"/>
  <c r="BR68" i="4" s="1"/>
  <c r="BT38" i="1"/>
  <c r="BT34" i="4" s="1"/>
  <c r="BS34" i="4"/>
  <c r="BS24" i="4"/>
  <c r="BS26" i="4" s="1"/>
  <c r="BT31" i="1"/>
  <c r="BP8" i="3"/>
  <c r="BP10" i="3" s="1"/>
  <c r="BO15" i="4"/>
  <c r="BT18" i="1"/>
  <c r="BS8" i="4"/>
  <c r="BT17" i="1"/>
  <c r="BS7" i="4"/>
  <c r="BT22" i="1"/>
  <c r="BS12" i="4"/>
  <c r="BT24" i="1"/>
  <c r="BT14" i="4" s="1"/>
  <c r="BT19" i="1"/>
  <c r="BS9" i="4"/>
  <c r="BT9" i="1"/>
  <c r="BT30" i="4"/>
  <c r="BS7" i="3" l="1"/>
  <c r="BR12" i="3"/>
  <c r="BR40" i="3"/>
  <c r="BR43" i="3" s="1"/>
  <c r="BS41" i="3" s="1"/>
  <c r="BQ45" i="3"/>
  <c r="BQ51" i="3" s="1"/>
  <c r="BJ36" i="6"/>
  <c r="BJ6" i="8" s="1"/>
  <c r="BJ14" i="8" s="1"/>
  <c r="BJ25" i="8" s="1"/>
  <c r="BJ41" i="8" s="1"/>
  <c r="BR27" i="3"/>
  <c r="BS25" i="3" s="1"/>
  <c r="BM13" i="6"/>
  <c r="BM14" i="6" s="1"/>
  <c r="BN7" i="6"/>
  <c r="BN52" i="3"/>
  <c r="BR29" i="3"/>
  <c r="BR35" i="3" s="1"/>
  <c r="BR37" i="3" s="1"/>
  <c r="BT24" i="4"/>
  <c r="BT26" i="4" s="1"/>
  <c r="BV24" i="3"/>
  <c r="BV27" i="3" s="1"/>
  <c r="BW25" i="3" s="1"/>
  <c r="BW24" i="3"/>
  <c r="BX24" i="3"/>
  <c r="BY24" i="3"/>
  <c r="BS18" i="6"/>
  <c r="BS64" i="4"/>
  <c r="BT61" i="4"/>
  <c r="BV57" i="1"/>
  <c r="BW57" i="1"/>
  <c r="BX57" i="1"/>
  <c r="BY57" i="1"/>
  <c r="BZ57" i="1"/>
  <c r="BV50" i="4"/>
  <c r="BT12" i="4"/>
  <c r="BZ12" i="4" s="1"/>
  <c r="BV22" i="1"/>
  <c r="BW22" i="1"/>
  <c r="BX22" i="1"/>
  <c r="BY22" i="1"/>
  <c r="BZ22" i="1"/>
  <c r="BM17" i="6"/>
  <c r="BM24" i="6" s="1"/>
  <c r="BQ40" i="4"/>
  <c r="BQ41" i="4" s="1"/>
  <c r="BQ20" i="6" s="1"/>
  <c r="BQ19" i="6" s="1"/>
  <c r="BQ69" i="4"/>
  <c r="BQ67" i="4" s="1"/>
  <c r="BT9" i="4"/>
  <c r="BZ9" i="4" s="1"/>
  <c r="BV19" i="1"/>
  <c r="BW19" i="1"/>
  <c r="BX19" i="1"/>
  <c r="BY19" i="1"/>
  <c r="BZ19" i="1"/>
  <c r="BT8" i="4"/>
  <c r="BZ8" i="4" s="1"/>
  <c r="BV18" i="1"/>
  <c r="BW18" i="1"/>
  <c r="BX18" i="1"/>
  <c r="BY18" i="1"/>
  <c r="BZ18" i="1"/>
  <c r="BT7" i="4"/>
  <c r="BV17" i="1"/>
  <c r="BW17" i="1"/>
  <c r="BX17" i="1"/>
  <c r="BY17" i="1"/>
  <c r="BZ17" i="1"/>
  <c r="BK27" i="6"/>
  <c r="BK32" i="6"/>
  <c r="BN52" i="4"/>
  <c r="BN53" i="4"/>
  <c r="BO17" i="4"/>
  <c r="BO11" i="6" s="1"/>
  <c r="BO81" i="4"/>
  <c r="BO82" i="4" s="1"/>
  <c r="BM59" i="4"/>
  <c r="BN15" i="7"/>
  <c r="BN21" i="8" s="1"/>
  <c r="BN15" i="8" s="1"/>
  <c r="BM15" i="8"/>
  <c r="BO6" i="6"/>
  <c r="BI27" i="6"/>
  <c r="BI32" i="6"/>
  <c r="BE42" i="8"/>
  <c r="BE43" i="8" s="1"/>
  <c r="BD33" i="7"/>
  <c r="BD35" i="7" s="1"/>
  <c r="BD37" i="7" s="1"/>
  <c r="BD38" i="7" s="1"/>
  <c r="BL12" i="6"/>
  <c r="BF9" i="7"/>
  <c r="BF20" i="7" s="1"/>
  <c r="BG8" i="7"/>
  <c r="BO42" i="4"/>
  <c r="BO32" i="4"/>
  <c r="BO16" i="6" s="1"/>
  <c r="BV26" i="4"/>
  <c r="BW26" i="4"/>
  <c r="BX26" i="4"/>
  <c r="BY26" i="4"/>
  <c r="BV12" i="4"/>
  <c r="BW12" i="4"/>
  <c r="BX12" i="4"/>
  <c r="BY12" i="4"/>
  <c r="BV30" i="4"/>
  <c r="BW30" i="4"/>
  <c r="BX30" i="4"/>
  <c r="BY30" i="4"/>
  <c r="BZ30" i="4"/>
  <c r="BV7" i="4"/>
  <c r="BW7" i="4"/>
  <c r="BX7" i="4"/>
  <c r="BY7" i="4"/>
  <c r="BV8" i="4"/>
  <c r="BW8" i="4"/>
  <c r="BX8" i="4"/>
  <c r="BY8" i="4"/>
  <c r="BV9" i="4"/>
  <c r="BW9" i="4"/>
  <c r="BX9" i="4"/>
  <c r="BY9" i="4"/>
  <c r="BN18" i="4"/>
  <c r="BN10" i="4"/>
  <c r="BS6" i="4"/>
  <c r="BS9" i="6" s="1"/>
  <c r="BN21" i="3"/>
  <c r="BW15" i="3"/>
  <c r="BX15" i="3"/>
  <c r="BY15" i="3"/>
  <c r="BZ15" i="3"/>
  <c r="BO11" i="4"/>
  <c r="BO20" i="3"/>
  <c r="BP18" i="3"/>
  <c r="BP29" i="4"/>
  <c r="BS16" i="3"/>
  <c r="BS31" i="4"/>
  <c r="BR37" i="4"/>
  <c r="BR39" i="4"/>
  <c r="BS36" i="4"/>
  <c r="BS68" i="4" s="1"/>
  <c r="BQ8" i="3"/>
  <c r="BQ10" i="3" s="1"/>
  <c r="BP15" i="4"/>
  <c r="BT36" i="4" l="1"/>
  <c r="BT68" i="4" s="1"/>
  <c r="BT29" i="3"/>
  <c r="BT7" i="3"/>
  <c r="BJ37" i="6"/>
  <c r="BS12" i="3"/>
  <c r="BS40" i="3"/>
  <c r="BS43" i="3" s="1"/>
  <c r="BT41" i="3" s="1"/>
  <c r="BS27" i="3"/>
  <c r="BT25" i="3" s="1"/>
  <c r="BR45" i="3"/>
  <c r="BR51" i="3" s="1"/>
  <c r="BM26" i="6"/>
  <c r="BM27" i="6" s="1"/>
  <c r="BZ26" i="4"/>
  <c r="BR38" i="3"/>
  <c r="BO7" i="6"/>
  <c r="BO52" i="3"/>
  <c r="BO53" i="3" s="1"/>
  <c r="BS29" i="3"/>
  <c r="BS35" i="3" s="1"/>
  <c r="BS37" i="3" s="1"/>
  <c r="BN53" i="3"/>
  <c r="BW27" i="3"/>
  <c r="BX25" i="3" s="1"/>
  <c r="BX27" i="3" s="1"/>
  <c r="BY25" i="3" s="1"/>
  <c r="BY27" i="3" s="1"/>
  <c r="BZ25" i="3" s="1"/>
  <c r="BZ50" i="4"/>
  <c r="BT33" i="3"/>
  <c r="BZ33" i="3" s="1"/>
  <c r="BZ32" i="3"/>
  <c r="BV29" i="3"/>
  <c r="BW29" i="3"/>
  <c r="BX29" i="3"/>
  <c r="BY29" i="3"/>
  <c r="BT18" i="6"/>
  <c r="BW61" i="4"/>
  <c r="BX61" i="4"/>
  <c r="BT64" i="4"/>
  <c r="BY61" i="4"/>
  <c r="BZ61" i="4"/>
  <c r="BR40" i="4"/>
  <c r="BR20" i="6" s="1"/>
  <c r="BR19" i="6" s="1"/>
  <c r="BR69" i="4"/>
  <c r="BR67" i="4" s="1"/>
  <c r="BT6" i="4"/>
  <c r="BZ6" i="4" s="1"/>
  <c r="BZ7" i="4"/>
  <c r="BO52" i="4"/>
  <c r="BO53" i="4"/>
  <c r="BP17" i="4"/>
  <c r="BP11" i="6" s="1"/>
  <c r="BP81" i="4"/>
  <c r="BP82" i="4" s="1"/>
  <c r="BN17" i="6"/>
  <c r="BN59" i="4"/>
  <c r="BK33" i="6"/>
  <c r="BK36" i="6"/>
  <c r="BO15" i="7"/>
  <c r="BO21" i="8" s="1"/>
  <c r="BP6" i="6"/>
  <c r="BH8" i="7"/>
  <c r="BG9" i="7"/>
  <c r="BG20" i="7" s="1"/>
  <c r="BF42" i="8"/>
  <c r="BF43" i="8" s="1"/>
  <c r="BE33" i="7"/>
  <c r="BE35" i="7" s="1"/>
  <c r="BE37" i="7" s="1"/>
  <c r="BE38" i="7" s="1"/>
  <c r="BI33" i="6"/>
  <c r="BI36" i="6"/>
  <c r="BL13" i="6"/>
  <c r="BP42" i="4"/>
  <c r="BP32" i="4"/>
  <c r="BP16" i="6" s="1"/>
  <c r="BO18" i="4"/>
  <c r="BO10" i="4"/>
  <c r="BO10" i="6" s="1"/>
  <c r="BO12" i="6" s="1"/>
  <c r="BN10" i="6"/>
  <c r="BT9" i="6"/>
  <c r="BV6" i="4"/>
  <c r="BW6" i="4"/>
  <c r="BX6" i="4"/>
  <c r="BY6" i="4"/>
  <c r="BV7" i="3"/>
  <c r="BV10" i="3" s="1"/>
  <c r="BW8" i="3" s="1"/>
  <c r="BW7" i="3"/>
  <c r="BX7" i="3"/>
  <c r="BY7" i="3"/>
  <c r="BO21" i="3"/>
  <c r="BP11" i="4"/>
  <c r="BP20" i="3"/>
  <c r="BQ18" i="3"/>
  <c r="BQ29" i="4"/>
  <c r="BT16" i="3"/>
  <c r="BV16" i="3" s="1"/>
  <c r="BT31" i="4"/>
  <c r="BT37" i="4"/>
  <c r="BT39" i="4"/>
  <c r="BS37" i="4"/>
  <c r="BS39" i="4"/>
  <c r="BR8" i="3"/>
  <c r="BR10" i="3" s="1"/>
  <c r="BQ15" i="4"/>
  <c r="BS45" i="3" l="1"/>
  <c r="BS51" i="3" s="1"/>
  <c r="BZ7" i="3"/>
  <c r="BT40" i="3"/>
  <c r="BT43" i="3" s="1"/>
  <c r="BM32" i="6"/>
  <c r="BM33" i="6" s="1"/>
  <c r="BT12" i="3"/>
  <c r="BT45" i="3" s="1"/>
  <c r="BT51" i="3" s="1"/>
  <c r="BS38" i="3"/>
  <c r="BO13" i="6"/>
  <c r="BO14" i="6" s="1"/>
  <c r="BT27" i="3"/>
  <c r="BP7" i="6"/>
  <c r="BP52" i="3"/>
  <c r="BP53" i="3" s="1"/>
  <c r="BZ24" i="3"/>
  <c r="BZ27" i="3" s="1"/>
  <c r="BV35" i="3"/>
  <c r="BW35" i="3"/>
  <c r="BX35" i="3"/>
  <c r="BY35" i="3"/>
  <c r="BX64" i="4"/>
  <c r="BY64" i="4"/>
  <c r="BZ64" i="4"/>
  <c r="BV18" i="6"/>
  <c r="BW18" i="6"/>
  <c r="BX18" i="6"/>
  <c r="BY18" i="6"/>
  <c r="BZ18" i="6"/>
  <c r="BS40" i="4"/>
  <c r="BS41" i="4" s="1"/>
  <c r="BS20" i="6" s="1"/>
  <c r="BS19" i="6" s="1"/>
  <c r="BS69" i="4"/>
  <c r="BS67" i="4" s="1"/>
  <c r="BT40" i="4"/>
  <c r="BT41" i="4" s="1"/>
  <c r="BT20" i="6" s="1"/>
  <c r="BT69" i="4"/>
  <c r="BT67" i="4" s="1"/>
  <c r="BV9" i="6"/>
  <c r="BW9" i="6"/>
  <c r="BX9" i="6"/>
  <c r="BY9" i="6"/>
  <c r="BZ9" i="6"/>
  <c r="BK6" i="8"/>
  <c r="BK14" i="8" s="1"/>
  <c r="BK25" i="8" s="1"/>
  <c r="BK41" i="8" s="1"/>
  <c r="BK37" i="6"/>
  <c r="BN24" i="6"/>
  <c r="BP53" i="4"/>
  <c r="BP52" i="4"/>
  <c r="BO17" i="6"/>
  <c r="BO24" i="6" s="1"/>
  <c r="BO59" i="4"/>
  <c r="BQ17" i="4"/>
  <c r="BQ11" i="6" s="1"/>
  <c r="BQ81" i="4"/>
  <c r="BQ82" i="4" s="1"/>
  <c r="BP15" i="7"/>
  <c r="BP21" i="8" s="1"/>
  <c r="BP15" i="8" s="1"/>
  <c r="BQ6" i="6"/>
  <c r="BO15" i="8"/>
  <c r="BN12" i="6"/>
  <c r="BL26" i="6"/>
  <c r="BL14" i="6"/>
  <c r="BI6" i="8"/>
  <c r="BI37" i="6"/>
  <c r="BG42" i="8"/>
  <c r="BG43" i="8" s="1"/>
  <c r="BF33" i="7"/>
  <c r="BF35" i="7" s="1"/>
  <c r="BF37" i="7" s="1"/>
  <c r="BF38" i="7" s="1"/>
  <c r="BI8" i="7"/>
  <c r="BH9" i="7"/>
  <c r="BY8" i="7"/>
  <c r="BQ42" i="4"/>
  <c r="BQ32" i="4"/>
  <c r="BQ16" i="6" s="1"/>
  <c r="BV40" i="4"/>
  <c r="BW40" i="4"/>
  <c r="BX40" i="4"/>
  <c r="BY40" i="4"/>
  <c r="BP18" i="4"/>
  <c r="BP10" i="4"/>
  <c r="BP10" i="6" s="1"/>
  <c r="BP12" i="6" s="1"/>
  <c r="BW10" i="3"/>
  <c r="BX8" i="3" s="1"/>
  <c r="BX10" i="3" s="1"/>
  <c r="BY8" i="3" s="1"/>
  <c r="BY10" i="3" s="1"/>
  <c r="BZ8" i="3" s="1"/>
  <c r="BV39" i="4"/>
  <c r="BW39" i="4"/>
  <c r="BX39" i="4"/>
  <c r="BY39" i="4"/>
  <c r="BZ39" i="4"/>
  <c r="BV31" i="4"/>
  <c r="BW31" i="4"/>
  <c r="BX31" i="4"/>
  <c r="BY31" i="4"/>
  <c r="BZ31" i="4"/>
  <c r="BW16" i="3"/>
  <c r="BX16" i="3"/>
  <c r="BY16" i="3"/>
  <c r="BZ16" i="3"/>
  <c r="BQ20" i="3"/>
  <c r="BV12" i="3"/>
  <c r="BW12" i="3"/>
  <c r="BX12" i="3"/>
  <c r="BY12" i="3"/>
  <c r="BP21" i="3"/>
  <c r="BQ11" i="4"/>
  <c r="BR18" i="3"/>
  <c r="BR29" i="4"/>
  <c r="BS8" i="3"/>
  <c r="BS10" i="3" s="1"/>
  <c r="BR15" i="4"/>
  <c r="BZ10" i="3" l="1"/>
  <c r="BZ12" i="3"/>
  <c r="BT18" i="3"/>
  <c r="BM36" i="6"/>
  <c r="BM37" i="6" s="1"/>
  <c r="BO26" i="6"/>
  <c r="BO27" i="6" s="1"/>
  <c r="BQ7" i="6"/>
  <c r="BQ52" i="3"/>
  <c r="BQ53" i="3" s="1"/>
  <c r="BP13" i="6"/>
  <c r="BP14" i="6" s="1"/>
  <c r="BT35" i="3"/>
  <c r="BZ29" i="3"/>
  <c r="BZ40" i="4"/>
  <c r="BP17" i="6"/>
  <c r="BP59" i="4"/>
  <c r="BQ52" i="4"/>
  <c r="BQ53" i="4"/>
  <c r="BR17" i="4"/>
  <c r="BR11" i="6" s="1"/>
  <c r="BR81" i="4"/>
  <c r="BR82" i="4" s="1"/>
  <c r="BR6" i="6"/>
  <c r="BT6" i="6"/>
  <c r="BQ15" i="7"/>
  <c r="BQ21" i="8" s="1"/>
  <c r="BQ15" i="8" s="1"/>
  <c r="BH42" i="8"/>
  <c r="BH43" i="8" s="1"/>
  <c r="BG33" i="7"/>
  <c r="BG35" i="7" s="1"/>
  <c r="BG37" i="7" s="1"/>
  <c r="BG38" i="7" s="1"/>
  <c r="BV20" i="6"/>
  <c r="BW20" i="6"/>
  <c r="BX20" i="6"/>
  <c r="BY20" i="6"/>
  <c r="BZ20" i="6"/>
  <c r="BV6" i="6"/>
  <c r="BW6" i="6"/>
  <c r="BX6" i="6"/>
  <c r="BY6" i="6"/>
  <c r="BI14" i="8"/>
  <c r="BI25" i="8" s="1"/>
  <c r="BI41" i="8" s="1"/>
  <c r="BH20" i="7"/>
  <c r="BY9" i="7"/>
  <c r="BY20" i="7" s="1"/>
  <c r="BL27" i="6"/>
  <c r="BL32" i="6"/>
  <c r="BI9" i="7"/>
  <c r="BI20" i="7" s="1"/>
  <c r="BJ8" i="7"/>
  <c r="BN13" i="6"/>
  <c r="BR42" i="4"/>
  <c r="BR32" i="4"/>
  <c r="BR16" i="6" s="1"/>
  <c r="BV41" i="4"/>
  <c r="BW41" i="4"/>
  <c r="BX41" i="4"/>
  <c r="BY41" i="4"/>
  <c r="BZ41" i="4"/>
  <c r="BQ18" i="4"/>
  <c r="BQ10" i="4"/>
  <c r="BQ10" i="6" s="1"/>
  <c r="BQ12" i="6" s="1"/>
  <c r="BV18" i="3"/>
  <c r="BW18" i="3"/>
  <c r="BX18" i="3"/>
  <c r="BY18" i="3"/>
  <c r="BQ21" i="3"/>
  <c r="BR11" i="4"/>
  <c r="BR10" i="4" s="1"/>
  <c r="BR10" i="6" s="1"/>
  <c r="BR20" i="3"/>
  <c r="BT29" i="4"/>
  <c r="BT32" i="4" s="1"/>
  <c r="BT16" i="6" s="1"/>
  <c r="BS18" i="3"/>
  <c r="BS29" i="4"/>
  <c r="BT8" i="3"/>
  <c r="BT10" i="3" s="1"/>
  <c r="BT15" i="4" s="1"/>
  <c r="BT81" i="4" s="1"/>
  <c r="BS15" i="4"/>
  <c r="BM6" i="8" l="1"/>
  <c r="BM14" i="8" s="1"/>
  <c r="BM25" i="8" s="1"/>
  <c r="BM41" i="8" s="1"/>
  <c r="BO32" i="6"/>
  <c r="BO33" i="6" s="1"/>
  <c r="BQ13" i="6"/>
  <c r="BQ14" i="6" s="1"/>
  <c r="BZ35" i="3"/>
  <c r="BT37" i="3"/>
  <c r="BR7" i="6"/>
  <c r="BR52" i="3"/>
  <c r="BR53" i="3" s="1"/>
  <c r="BR12" i="6"/>
  <c r="BT17" i="4"/>
  <c r="BT82" i="4"/>
  <c r="BQ17" i="6"/>
  <c r="BQ24" i="6" s="1"/>
  <c r="BQ26" i="6" s="1"/>
  <c r="BQ27" i="6" s="1"/>
  <c r="BQ59" i="4"/>
  <c r="BS17" i="4"/>
  <c r="BS11" i="6" s="1"/>
  <c r="BS81" i="4"/>
  <c r="BS82" i="4" s="1"/>
  <c r="BR53" i="4"/>
  <c r="BR52" i="4"/>
  <c r="BP24" i="6"/>
  <c r="BP26" i="6" s="1"/>
  <c r="BP27" i="6" s="1"/>
  <c r="BS6" i="6"/>
  <c r="BZ6" i="6" s="1"/>
  <c r="BR15" i="7"/>
  <c r="BV16" i="6"/>
  <c r="BW16" i="6"/>
  <c r="BX16" i="6"/>
  <c r="BY16" i="6"/>
  <c r="BL33" i="6"/>
  <c r="BL36" i="6"/>
  <c r="BV19" i="6"/>
  <c r="BW19" i="6"/>
  <c r="BX19" i="6"/>
  <c r="BY19" i="6"/>
  <c r="BZ19" i="6"/>
  <c r="BK8" i="7"/>
  <c r="BJ9" i="7"/>
  <c r="BJ20" i="7" s="1"/>
  <c r="BN26" i="6"/>
  <c r="BN14" i="6"/>
  <c r="BI42" i="8"/>
  <c r="BI43" i="8" s="1"/>
  <c r="BH33" i="7"/>
  <c r="BR18" i="4"/>
  <c r="BS42" i="4"/>
  <c r="BS32" i="4"/>
  <c r="BS16" i="6" s="1"/>
  <c r="BV17" i="4"/>
  <c r="BW17" i="4"/>
  <c r="BX17" i="4"/>
  <c r="BY17" i="4"/>
  <c r="BZ18" i="3"/>
  <c r="BT42" i="4"/>
  <c r="BV29" i="4"/>
  <c r="BW29" i="4"/>
  <c r="BX29" i="4"/>
  <c r="BY29" i="4"/>
  <c r="BZ29" i="4"/>
  <c r="BR21" i="3"/>
  <c r="BS20" i="3"/>
  <c r="BT11" i="4"/>
  <c r="BT20" i="3"/>
  <c r="BS11" i="4"/>
  <c r="BO36" i="6" l="1"/>
  <c r="BO6" i="8" s="1"/>
  <c r="BO14" i="8" s="1"/>
  <c r="BO25" i="8" s="1"/>
  <c r="BO41" i="8" s="1"/>
  <c r="BT52" i="3"/>
  <c r="BT53" i="3" s="1"/>
  <c r="BR13" i="6"/>
  <c r="BV52" i="3"/>
  <c r="BW52" i="3"/>
  <c r="BX52" i="3"/>
  <c r="BY52" i="3"/>
  <c r="BS7" i="6"/>
  <c r="BS52" i="3"/>
  <c r="BS53" i="3" s="1"/>
  <c r="BT38" i="3"/>
  <c r="BV37" i="3"/>
  <c r="BW37" i="3"/>
  <c r="BX37" i="3"/>
  <c r="BZ37" i="3"/>
  <c r="BZ17" i="4"/>
  <c r="BP32" i="6"/>
  <c r="BP33" i="6" s="1"/>
  <c r="BT11" i="6"/>
  <c r="BZ11" i="6" s="1"/>
  <c r="BS53" i="4"/>
  <c r="BS52" i="4"/>
  <c r="BT53" i="4"/>
  <c r="BV53" i="4" s="1"/>
  <c r="BT52" i="4"/>
  <c r="BV52" i="4" s="1"/>
  <c r="BR17" i="6"/>
  <c r="BR24" i="6" s="1"/>
  <c r="BR59" i="4"/>
  <c r="BT7" i="6"/>
  <c r="BT15" i="7"/>
  <c r="BR21" i="8"/>
  <c r="BR15" i="8" s="1"/>
  <c r="BS15" i="7"/>
  <c r="BS21" i="8" s="1"/>
  <c r="BS15" i="8" s="1"/>
  <c r="BZ16" i="6"/>
  <c r="BV7" i="6"/>
  <c r="CB16" i="6" s="1"/>
  <c r="BW7" i="6"/>
  <c r="BX7" i="6"/>
  <c r="BY7" i="6"/>
  <c r="BJ42" i="8"/>
  <c r="BJ43" i="8" s="1"/>
  <c r="BI33" i="7"/>
  <c r="BI35" i="7" s="1"/>
  <c r="BI37" i="7" s="1"/>
  <c r="BI38" i="7" s="1"/>
  <c r="BN27" i="6"/>
  <c r="BN32" i="6"/>
  <c r="BV24" i="6"/>
  <c r="BW24" i="6"/>
  <c r="BX24" i="6"/>
  <c r="BY24" i="6"/>
  <c r="BH35" i="7"/>
  <c r="BH37" i="7" s="1"/>
  <c r="BH38" i="7" s="1"/>
  <c r="BY33" i="7"/>
  <c r="BY35" i="7" s="1"/>
  <c r="BY37" i="7" s="1"/>
  <c r="BY38" i="7" s="1"/>
  <c r="BL6" i="8"/>
  <c r="BL37" i="6"/>
  <c r="BV11" i="6"/>
  <c r="BW11" i="6"/>
  <c r="BX11" i="6"/>
  <c r="BY11" i="6"/>
  <c r="BL8" i="7"/>
  <c r="BK9" i="7"/>
  <c r="BK20" i="7" s="1"/>
  <c r="BV42" i="4"/>
  <c r="BW42" i="4"/>
  <c r="BX42" i="4"/>
  <c r="BY42" i="4"/>
  <c r="BZ42" i="4"/>
  <c r="BQ32" i="6"/>
  <c r="BQ33" i="6" s="1"/>
  <c r="BS18" i="4"/>
  <c r="BS10" i="4"/>
  <c r="BS10" i="6" s="1"/>
  <c r="BT18" i="4"/>
  <c r="BT10" i="4"/>
  <c r="BV11" i="4"/>
  <c r="BW11" i="4"/>
  <c r="BX11" i="4"/>
  <c r="BY11" i="4"/>
  <c r="BZ11" i="4"/>
  <c r="BR14" i="6"/>
  <c r="BT21" i="3"/>
  <c r="BV20" i="3"/>
  <c r="BW20" i="3"/>
  <c r="BX20" i="3"/>
  <c r="BY20" i="3"/>
  <c r="BZ20" i="3"/>
  <c r="BS21" i="3"/>
  <c r="BO37" i="6" l="1"/>
  <c r="BR26" i="6"/>
  <c r="BR27" i="6" s="1"/>
  <c r="BZ7" i="6"/>
  <c r="BZ8" i="6" s="1"/>
  <c r="BZ52" i="3"/>
  <c r="BW8" i="6"/>
  <c r="BY8" i="6"/>
  <c r="BX8" i="6"/>
  <c r="BP36" i="6"/>
  <c r="BP37" i="6" s="1"/>
  <c r="CE24" i="6"/>
  <c r="BT17" i="6"/>
  <c r="BV17" i="6" s="1"/>
  <c r="CB17" i="6" s="1"/>
  <c r="BT59" i="4"/>
  <c r="BV59" i="4" s="1"/>
  <c r="BW52" i="4"/>
  <c r="BX52" i="4"/>
  <c r="BY52" i="4"/>
  <c r="BZ52" i="4"/>
  <c r="BW53" i="4"/>
  <c r="BX53" i="4"/>
  <c r="BY53" i="4"/>
  <c r="BZ53" i="4"/>
  <c r="BS17" i="6"/>
  <c r="BS24" i="6" s="1"/>
  <c r="BS59" i="4"/>
  <c r="CF16" i="6"/>
  <c r="BT21" i="8"/>
  <c r="CE11" i="6"/>
  <c r="CD11" i="6"/>
  <c r="BX13" i="6"/>
  <c r="CD13" i="6" s="1"/>
  <c r="CD21" i="6"/>
  <c r="CD7" i="6"/>
  <c r="CD30" i="6"/>
  <c r="CD22" i="6"/>
  <c r="CD9" i="6"/>
  <c r="CD20" i="6"/>
  <c r="CD19" i="6"/>
  <c r="CD34" i="6"/>
  <c r="CD23" i="6"/>
  <c r="CD29" i="6"/>
  <c r="CD18" i="6"/>
  <c r="CD12" i="6"/>
  <c r="CC11" i="6"/>
  <c r="CD24" i="6"/>
  <c r="CB11" i="6"/>
  <c r="CC24" i="6"/>
  <c r="CF19" i="6"/>
  <c r="CF34" i="6"/>
  <c r="CF20" i="6"/>
  <c r="CF23" i="6"/>
  <c r="CF21" i="6"/>
  <c r="CF29" i="6"/>
  <c r="CD16" i="6"/>
  <c r="BW13" i="6"/>
  <c r="CC13" i="6" s="1"/>
  <c r="CC29" i="6"/>
  <c r="CC18" i="6"/>
  <c r="CC19" i="6"/>
  <c r="CC22" i="6"/>
  <c r="CC34" i="6"/>
  <c r="CC23" i="6"/>
  <c r="CC21" i="6"/>
  <c r="CC7" i="6"/>
  <c r="CC9" i="6"/>
  <c r="CC30" i="6"/>
  <c r="CC20" i="6"/>
  <c r="CC12" i="6"/>
  <c r="CB23" i="6"/>
  <c r="CB21" i="6"/>
  <c r="CB7" i="6"/>
  <c r="CB30" i="6"/>
  <c r="CB19" i="6"/>
  <c r="CB34" i="6"/>
  <c r="CB20" i="6"/>
  <c r="CB29" i="6"/>
  <c r="CB18" i="6"/>
  <c r="CB22" i="6"/>
  <c r="CB9" i="6"/>
  <c r="CC16" i="6"/>
  <c r="CB24" i="6"/>
  <c r="BY13" i="6"/>
  <c r="CE13" i="6" s="1"/>
  <c r="CE22" i="6"/>
  <c r="CE9" i="6"/>
  <c r="CE34" i="6"/>
  <c r="CE20" i="6"/>
  <c r="CE23" i="6"/>
  <c r="CE7" i="6"/>
  <c r="CE30" i="6"/>
  <c r="CE19" i="6"/>
  <c r="CE18" i="6"/>
  <c r="CE21" i="6"/>
  <c r="CE29" i="6"/>
  <c r="CE12" i="6"/>
  <c r="CE16" i="6"/>
  <c r="BK42" i="8"/>
  <c r="BK43" i="8" s="1"/>
  <c r="BJ33" i="7"/>
  <c r="BJ35" i="7" s="1"/>
  <c r="BJ37" i="7" s="1"/>
  <c r="BJ38" i="7" s="1"/>
  <c r="BS12" i="6"/>
  <c r="D27" i="9"/>
  <c r="BL14" i="8"/>
  <c r="BL25" i="8" s="1"/>
  <c r="BL41" i="8" s="1"/>
  <c r="BM8" i="7"/>
  <c r="BL9" i="7"/>
  <c r="BL20" i="7" s="1"/>
  <c r="BN33" i="6"/>
  <c r="BN36" i="6"/>
  <c r="BT10" i="6"/>
  <c r="BZ10" i="6" s="1"/>
  <c r="CF10" i="6" s="1"/>
  <c r="BV10" i="4"/>
  <c r="BW10" i="4"/>
  <c r="BX10" i="4"/>
  <c r="BY10" i="4"/>
  <c r="BZ10" i="4"/>
  <c r="BV18" i="4"/>
  <c r="BW18" i="4"/>
  <c r="BX18" i="4"/>
  <c r="BY18" i="4"/>
  <c r="BZ18" i="4"/>
  <c r="BQ36" i="6"/>
  <c r="BR32" i="6"/>
  <c r="BR33" i="6" s="1"/>
  <c r="CF18" i="6" l="1"/>
  <c r="CF7" i="6"/>
  <c r="CF11" i="6"/>
  <c r="CF22" i="6"/>
  <c r="CF9" i="6"/>
  <c r="CF30" i="6"/>
  <c r="BP6" i="8"/>
  <c r="BP14" i="8" s="1"/>
  <c r="BP25" i="8" s="1"/>
  <c r="BP41" i="8" s="1"/>
  <c r="BX59" i="4"/>
  <c r="BY59" i="4"/>
  <c r="BZ59" i="4"/>
  <c r="BW17" i="6"/>
  <c r="CC17" i="6" s="1"/>
  <c r="BX17" i="6"/>
  <c r="CD17" i="6" s="1"/>
  <c r="BY17" i="6"/>
  <c r="CE17" i="6" s="1"/>
  <c r="BT24" i="6"/>
  <c r="BZ24" i="6" s="1"/>
  <c r="CF24" i="6" s="1"/>
  <c r="BZ17" i="6"/>
  <c r="CF17" i="6" s="1"/>
  <c r="BT15" i="8"/>
  <c r="BV21" i="8"/>
  <c r="BV25" i="8" s="1"/>
  <c r="BV41" i="8" s="1"/>
  <c r="BV43" i="8" s="1"/>
  <c r="BW42" i="8" s="1"/>
  <c r="BW21" i="8"/>
  <c r="BW25" i="8" s="1"/>
  <c r="BW41" i="8" s="1"/>
  <c r="BX21" i="8"/>
  <c r="BX25" i="8" s="1"/>
  <c r="BX41" i="8" s="1"/>
  <c r="BY21" i="8"/>
  <c r="BY25" i="8" s="1"/>
  <c r="BY41" i="8" s="1"/>
  <c r="BZ21" i="8"/>
  <c r="BX26" i="6"/>
  <c r="CD26" i="6" s="1"/>
  <c r="BY26" i="6"/>
  <c r="CE26" i="6" s="1"/>
  <c r="BX14" i="6"/>
  <c r="BY14" i="6"/>
  <c r="BW14" i="6"/>
  <c r="BW26" i="6"/>
  <c r="CC26" i="6" s="1"/>
  <c r="BM9" i="7"/>
  <c r="BM20" i="7" s="1"/>
  <c r="BN8" i="7"/>
  <c r="BT12" i="6"/>
  <c r="BZ12" i="6" s="1"/>
  <c r="BV10" i="6"/>
  <c r="CB10" i="6" s="1"/>
  <c r="BW10" i="6"/>
  <c r="CC10" i="6" s="1"/>
  <c r="BX10" i="6"/>
  <c r="CD10" i="6" s="1"/>
  <c r="BY10" i="6"/>
  <c r="CE10" i="6" s="1"/>
  <c r="D28" i="9"/>
  <c r="E27" i="9"/>
  <c r="BS13" i="6"/>
  <c r="BQ6" i="8"/>
  <c r="BQ14" i="8" s="1"/>
  <c r="BQ25" i="8" s="1"/>
  <c r="BQ41" i="8" s="1"/>
  <c r="BQ37" i="6"/>
  <c r="BN6" i="8"/>
  <c r="BN37" i="6"/>
  <c r="BL42" i="8"/>
  <c r="BL43" i="8" s="1"/>
  <c r="BK33" i="7"/>
  <c r="BK35" i="7" s="1"/>
  <c r="BK37" i="7" s="1"/>
  <c r="BK38" i="7" s="1"/>
  <c r="BR36" i="6"/>
  <c r="BW43" i="8" l="1"/>
  <c r="BX42" i="8" s="1"/>
  <c r="BX43" i="8" s="1"/>
  <c r="BY42" i="8" s="1"/>
  <c r="BY43" i="8" s="1"/>
  <c r="BZ42" i="8" s="1"/>
  <c r="BY27" i="6"/>
  <c r="BW32" i="6"/>
  <c r="CC32" i="6" s="1"/>
  <c r="BX32" i="6"/>
  <c r="CD32" i="6" s="1"/>
  <c r="BW27" i="6"/>
  <c r="BY32" i="6"/>
  <c r="CE32" i="6" s="1"/>
  <c r="BX27" i="6"/>
  <c r="BV15" i="8"/>
  <c r="BW15" i="8"/>
  <c r="BX15" i="8"/>
  <c r="BY15" i="8"/>
  <c r="BZ15" i="8"/>
  <c r="BZ13" i="6"/>
  <c r="CF13" i="6" s="1"/>
  <c r="CF12" i="6"/>
  <c r="BM42" i="8"/>
  <c r="BM43" i="8" s="1"/>
  <c r="BL33" i="7"/>
  <c r="BL35" i="7" s="1"/>
  <c r="BL37" i="7" s="1"/>
  <c r="BL38" i="7" s="1"/>
  <c r="BS26" i="6"/>
  <c r="BS14" i="6"/>
  <c r="BT13" i="6"/>
  <c r="BV12" i="6"/>
  <c r="E28" i="9"/>
  <c r="D31" i="9"/>
  <c r="BO8" i="7"/>
  <c r="BN9" i="7"/>
  <c r="BN20" i="7" s="1"/>
  <c r="BN14" i="8"/>
  <c r="BN25" i="8" s="1"/>
  <c r="BN41" i="8" s="1"/>
  <c r="BR37" i="6"/>
  <c r="BR6" i="8"/>
  <c r="BR14" i="8" s="1"/>
  <c r="BR25" i="8" s="1"/>
  <c r="BR41" i="8" s="1"/>
  <c r="BZ26" i="6" l="1"/>
  <c r="CF26" i="6" s="1"/>
  <c r="BZ14" i="6"/>
  <c r="BY36" i="6"/>
  <c r="BY37" i="6" s="1"/>
  <c r="BX36" i="6"/>
  <c r="BX37" i="6" s="1"/>
  <c r="BX33" i="6"/>
  <c r="BW33" i="6"/>
  <c r="BW36" i="6"/>
  <c r="CC36" i="6" s="1"/>
  <c r="BY33" i="6"/>
  <c r="BV13" i="6"/>
  <c r="CB13" i="6" s="1"/>
  <c r="CB12" i="6"/>
  <c r="BT26" i="6"/>
  <c r="BT14" i="6"/>
  <c r="BP8" i="7"/>
  <c r="BO9" i="7"/>
  <c r="BO20" i="7" s="1"/>
  <c r="D34" i="9"/>
  <c r="D33" i="9"/>
  <c r="E33" i="9" s="1"/>
  <c r="E31" i="9"/>
  <c r="E34" i="9" s="1"/>
  <c r="BS27" i="6"/>
  <c r="BS32" i="6"/>
  <c r="BN42" i="8"/>
  <c r="BN43" i="8" s="1"/>
  <c r="BM33" i="7"/>
  <c r="BM35" i="7" s="1"/>
  <c r="BM37" i="7" s="1"/>
  <c r="BM38" i="7" s="1"/>
  <c r="BZ32" i="6" l="1"/>
  <c r="CF32" i="6" s="1"/>
  <c r="BZ27" i="6"/>
  <c r="CE36" i="6"/>
  <c r="BW37" i="6"/>
  <c r="CD36" i="6"/>
  <c r="BV26" i="6"/>
  <c r="CB26" i="6" s="1"/>
  <c r="BV14" i="6"/>
  <c r="BQ8" i="7"/>
  <c r="BP9" i="7"/>
  <c r="BP20" i="7" s="1"/>
  <c r="BO42" i="8"/>
  <c r="BO43" i="8" s="1"/>
  <c r="BN33" i="7"/>
  <c r="BN35" i="7" s="1"/>
  <c r="BN37" i="7" s="1"/>
  <c r="BN38" i="7" s="1"/>
  <c r="BT27" i="6"/>
  <c r="BT32" i="6"/>
  <c r="BS33" i="6"/>
  <c r="BS36" i="6"/>
  <c r="BZ33" i="6" l="1"/>
  <c r="BZ36" i="6"/>
  <c r="BZ37" i="6" s="1"/>
  <c r="BV32" i="6"/>
  <c r="CB32" i="6" s="1"/>
  <c r="BV27" i="6"/>
  <c r="BT33" i="6"/>
  <c r="BT36" i="6"/>
  <c r="BP42" i="8"/>
  <c r="BP43" i="8" s="1"/>
  <c r="BO33" i="7"/>
  <c r="BO35" i="7" s="1"/>
  <c r="BO37" i="7" s="1"/>
  <c r="BO38" i="7" s="1"/>
  <c r="BS6" i="8"/>
  <c r="BS37" i="6"/>
  <c r="BQ9" i="7"/>
  <c r="BQ20" i="7" s="1"/>
  <c r="BR8" i="7"/>
  <c r="CF36" i="6" l="1"/>
  <c r="BV36" i="6"/>
  <c r="BV37" i="6" s="1"/>
  <c r="BV33" i="6"/>
  <c r="BS14" i="8"/>
  <c r="BS25" i="8" s="1"/>
  <c r="BS41" i="8" s="1"/>
  <c r="BR9" i="7"/>
  <c r="BR20" i="7" s="1"/>
  <c r="BS8" i="7"/>
  <c r="BQ42" i="8"/>
  <c r="BQ43" i="8" s="1"/>
  <c r="BP33" i="7"/>
  <c r="BP35" i="7" s="1"/>
  <c r="BP37" i="7" s="1"/>
  <c r="BP38" i="7" s="1"/>
  <c r="BT6" i="8"/>
  <c r="BT14" i="8" s="1"/>
  <c r="BT25" i="8" s="1"/>
  <c r="BT41" i="8" s="1"/>
  <c r="BT37" i="6"/>
  <c r="AF44" i="8" l="1"/>
  <c r="CB36" i="6"/>
  <c r="BZ6" i="8"/>
  <c r="BZ14" i="8" s="1"/>
  <c r="BZ25" i="8" s="1"/>
  <c r="BZ41" i="8" s="1"/>
  <c r="BZ43" i="8" s="1"/>
  <c r="BR42" i="8"/>
  <c r="BR43" i="8" s="1"/>
  <c r="BQ33" i="7"/>
  <c r="BQ35" i="7" s="1"/>
  <c r="BQ37" i="7" s="1"/>
  <c r="BQ38" i="7" s="1"/>
  <c r="BS9" i="7"/>
  <c r="BS20" i="7" s="1"/>
  <c r="BT8" i="7"/>
  <c r="BT9" i="7" l="1"/>
  <c r="BZ8" i="7"/>
  <c r="BS42" i="8"/>
  <c r="BS43" i="8" s="1"/>
  <c r="BR33" i="7"/>
  <c r="BR35" i="7" s="1"/>
  <c r="BR37" i="7" s="1"/>
  <c r="BR38" i="7" s="1"/>
  <c r="BT42" i="8" l="1"/>
  <c r="BT43" i="8" s="1"/>
  <c r="BT33" i="7" s="1"/>
  <c r="BS33" i="7"/>
  <c r="BS35" i="7" s="1"/>
  <c r="BS37" i="7" s="1"/>
  <c r="BS38" i="7" s="1"/>
  <c r="BT20" i="7"/>
  <c r="BZ9" i="7"/>
  <c r="BZ20" i="7" s="1"/>
  <c r="BT35" i="7" l="1"/>
  <c r="BT37" i="7" s="1"/>
  <c r="BT38" i="7" s="1"/>
  <c r="BZ33" i="7"/>
  <c r="BZ35" i="7" s="1"/>
  <c r="BZ37" i="7" s="1"/>
  <c r="BZ3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tc={3E739D8F-F515-EE49-9B55-A0DBB4CFCA61}</author>
    <author>tc={8A349C1F-31FA-F44D-99D4-D1386A55B91D}</author>
    <author>tc={816A589D-AE6B-DB47-9A48-E16FA97C3C8F}</author>
    <author>tc={AEFBE5B3-E1B5-814F-9591-848E425BD5D5}</author>
  </authors>
  <commentList>
    <comment ref="A6" authorId="0" shapeId="0" xr:uid="{3E739D8F-F515-EE49-9B55-A0DBB4CFCA61}">
      <text>
        <t>[Threaded comment]
Your version of Excel allows you to read this threaded comment; however, any edits to it will get removed if the file is opened in a newer version of Excel. Learn more: https://go.microsoft.com/fwlink/?linkid=870924
Comment:
    Leads to Sales</t>
      </text>
    </comment>
    <comment ref="F24" authorId="1" shapeId="0" xr:uid="{8A349C1F-31FA-F44D-99D4-D1386A55B91D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account (Clients), one customer support can manage.</t>
      </text>
    </comment>
    <comment ref="F38" authorId="2" shapeId="0" xr:uid="{816A589D-AE6B-DB47-9A48-E16FA97C3C8F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leads one sales person can manage in one month</t>
      </text>
    </comment>
    <comment ref="F39" authorId="3" shapeId="0" xr:uid="{AEFBE5B3-E1B5-814F-9591-848E425B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sales manager for 10 sales agents.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tc={15DA35F3-E1F2-784C-AB0E-A6499F43F9C0}</author>
    <author>tc={5490BC4C-518C-BB4E-B748-87EA9E3E12EE}</author>
    <author>tc={E1D93D95-14CC-CF47-A67A-4F32539DAD09}</author>
  </authors>
  <commentList>
    <comment ref="A14" authorId="0" shapeId="0" xr:uid="{15DA35F3-E1F2-784C-AB0E-A6499F43F9C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Term “Renewal” only</t>
      </text>
    </comment>
    <comment ref="A31" authorId="1" shapeId="0" xr:uid="{5490BC4C-518C-BB4E-B748-87EA9E3E12E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Term “Renewal” only</t>
      </text>
    </comment>
    <comment ref="A47" authorId="2" shapeId="0" xr:uid="{E1D93D95-14CC-CF47-A67A-4F32539DAD0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Term “Renewal” only</t>
      </text>
    </comment>
  </commentList>
</comments>
</file>

<file path=xl/sharedStrings.xml><?xml version="1.0" encoding="utf-8"?>
<sst xmlns="http://schemas.openxmlformats.org/spreadsheetml/2006/main" count="502" uniqueCount="303">
  <si>
    <t>Cells in Orange are assumptions</t>
  </si>
  <si>
    <t>MONTHLY</t>
  </si>
  <si>
    <t>YEARLY</t>
  </si>
  <si>
    <t>Year</t>
  </si>
  <si>
    <t>Months</t>
  </si>
  <si>
    <t>Revenue Assumptions</t>
  </si>
  <si>
    <t>Sales Funnel</t>
  </si>
  <si>
    <t>Leads</t>
  </si>
  <si>
    <t>Converation Rate</t>
  </si>
  <si>
    <t>Duration of Contract</t>
  </si>
  <si>
    <t>INR</t>
  </si>
  <si>
    <t>Revenue</t>
  </si>
  <si>
    <t>Recurring Contracts</t>
  </si>
  <si>
    <t>Churned</t>
  </si>
  <si>
    <t>Annual Churn Rate</t>
  </si>
  <si>
    <t>% Exapansion Added</t>
  </si>
  <si>
    <t>New Bookings</t>
  </si>
  <si>
    <t>%</t>
  </si>
  <si>
    <t>Churn &amp; Expansion Revenue</t>
  </si>
  <si>
    <t>Renewals</t>
  </si>
  <si>
    <t>Active Customers</t>
  </si>
  <si>
    <t>New Clients</t>
  </si>
  <si>
    <t>Existing Clients</t>
  </si>
  <si>
    <t>Total Clinets</t>
  </si>
  <si>
    <t xml:space="preserve"> </t>
  </si>
  <si>
    <t>Bookings</t>
  </si>
  <si>
    <t>Recurring Bookings</t>
  </si>
  <si>
    <t>Total Recurring Bookings</t>
  </si>
  <si>
    <t>Total Bookings</t>
  </si>
  <si>
    <t>Revenue (MRR)</t>
  </si>
  <si>
    <t>ARR</t>
  </si>
  <si>
    <t>Assumptions</t>
  </si>
  <si>
    <t>Revenue Buildup</t>
  </si>
  <si>
    <t>Cost Assumptions</t>
  </si>
  <si>
    <t>Direct Cost</t>
  </si>
  <si>
    <t>Direct Costs (COGS) for a B2B SaaS Business</t>
  </si>
  <si>
    <t>COGS includes all direct costs required to deliver the software service. These typically include:</t>
  </si>
  <si>
    <t>Hosting &amp; Infrastructure Costs</t>
  </si>
  <si>
    <t>Cloud services (AWS, Google Cloud, Azure)</t>
  </si>
  <si>
    <t>Database and storage (e.g., Amazon RDS, MongoDB Atlas)</t>
  </si>
  <si>
    <t>Content delivery networks (CDN)</t>
  </si>
  <si>
    <t>Load balancers and networking costs</t>
  </si>
  <si>
    <t>Third-Party Software &amp; API Costs</t>
  </si>
  <si>
    <t>Payment gateway fees (e.g., Stripe, Razorpay)</t>
  </si>
  <si>
    <t>AI/ML APIs (e.g., OpenAI, Google Cloud APIs)</t>
  </si>
  <si>
    <t>Email/SMS services (e.g., SendGrid, Twilio)</t>
  </si>
  <si>
    <t>Security services (e.g., Cloudflare, Auth0)</t>
  </si>
  <si>
    <t>Customer Support &amp; Service Costs</t>
  </si>
  <si>
    <t>Direct salaries of support teams</t>
  </si>
  <si>
    <t>Chatbot and ticketing systems (e.g., Zendesk, Intercom)</t>
  </si>
  <si>
    <t>DevOps &amp; Monitoring</t>
  </si>
  <si>
    <t>Application monitoring (e.g., Datadog, New Relic)</t>
  </si>
  <si>
    <t>Logging services (e.g., Splunk, ELK Stack)</t>
  </si>
  <si>
    <t>Data &amp; Backup Costs</t>
  </si>
  <si>
    <t>Data storage (e.g., Amazon S3, Google Cloud Storage)</t>
  </si>
  <si>
    <t>Backup &amp; disaster recovery solutions</t>
  </si>
  <si>
    <t>License &amp; Compliance Costs</t>
  </si>
  <si>
    <t>Compliance-related expenses (e.g., GDPR, ISO 27001 audits)</t>
  </si>
  <si>
    <t>Software licenses for development tools used in maintaining the SaaS product</t>
  </si>
  <si>
    <t>Monthly Cost</t>
  </si>
  <si>
    <t>Headcount</t>
  </si>
  <si>
    <t>Customer Support</t>
  </si>
  <si>
    <t>as a % of bookings</t>
  </si>
  <si>
    <t>Account/Customer support</t>
  </si>
  <si>
    <t>Annual Increment</t>
  </si>
  <si>
    <t>Total Direct Cost</t>
  </si>
  <si>
    <t>Cost Buildup</t>
  </si>
  <si>
    <t>Operating Expense</t>
  </si>
  <si>
    <t>Monthly Salary/Headcount</t>
  </si>
  <si>
    <t>Sales (SDR) Headcount</t>
  </si>
  <si>
    <t>Leads/Sales Agent/Month</t>
  </si>
  <si>
    <t>Sales Manager</t>
  </si>
  <si>
    <t>Sales Agents/Sales Manager</t>
  </si>
  <si>
    <t>Sales (SDR)</t>
  </si>
  <si>
    <t>Sales Manager Headcount</t>
  </si>
  <si>
    <t>Sales Team Salary</t>
  </si>
  <si>
    <t>Base</t>
  </si>
  <si>
    <t>Customer Support Team Salary</t>
  </si>
  <si>
    <t>Customer Support Headcount</t>
  </si>
  <si>
    <t>Total Sales Expenses</t>
  </si>
  <si>
    <t>Database and storage (Amazon RDS, MongoDB Atlas)</t>
  </si>
  <si>
    <t>Fixed Asset Schedule</t>
  </si>
  <si>
    <t>Income Statement</t>
  </si>
  <si>
    <t>Balance Sheet</t>
  </si>
  <si>
    <t>Cash Flow Statement</t>
  </si>
  <si>
    <t>Sales Commission %</t>
  </si>
  <si>
    <t xml:space="preserve">Expansion </t>
  </si>
  <si>
    <t>as a % repective bookings</t>
  </si>
  <si>
    <t>Renewal</t>
  </si>
  <si>
    <t>Expansion</t>
  </si>
  <si>
    <t>EBITDA</t>
  </si>
  <si>
    <t>G&amp;A</t>
  </si>
  <si>
    <t>INR:USD</t>
  </si>
  <si>
    <t>Precedent Transaction Analysis</t>
  </si>
  <si>
    <t>S.No</t>
  </si>
  <si>
    <t>Name</t>
  </si>
  <si>
    <t xml:space="preserve">Founded Year </t>
  </si>
  <si>
    <t>Total Equity Funding       (In Mn $)</t>
  </si>
  <si>
    <t>Date</t>
  </si>
  <si>
    <t xml:space="preserve">Funding Amount  </t>
  </si>
  <si>
    <t>Round</t>
  </si>
  <si>
    <t>Valuation      (In $ Mn)</t>
  </si>
  <si>
    <t>Revenue.   (In $ Mn)</t>
  </si>
  <si>
    <t>Revenue  Multiple</t>
  </si>
  <si>
    <t>Sales assist.ai</t>
  </si>
  <si>
    <t>Nov 29, 2024</t>
  </si>
  <si>
    <t>Seed</t>
  </si>
  <si>
    <t>$201.2K</t>
  </si>
  <si>
    <t>-</t>
  </si>
  <si>
    <t>Mar 22, 2024</t>
  </si>
  <si>
    <t>$120.3K</t>
  </si>
  <si>
    <t>Dec 05, 2023</t>
  </si>
  <si>
    <t>Angel</t>
  </si>
  <si>
    <t>May 15, 2021</t>
  </si>
  <si>
    <t>$230.2K</t>
  </si>
  <si>
    <t>Jan 02, 2021</t>
  </si>
  <si>
    <t>$34.2K</t>
  </si>
  <si>
    <t>Marketing</t>
  </si>
  <si>
    <t>1. Marketing Team Structure &amp; Roles</t>
  </si>
  <si>
    <t>Role</t>
  </si>
  <si>
    <t>Responsibilities</t>
  </si>
  <si>
    <t>Headcount (Early, Growth, Scale)</t>
  </si>
  <si>
    <t>Owns marketing strategy, brand positioning &amp; demand generation.</t>
  </si>
  <si>
    <t>1 (Growth)</t>
  </si>
  <si>
    <t>Content Marketing Manager</t>
  </si>
  <si>
    <t>Creates blogs, case studies, whitepapers, and e-books.</t>
  </si>
  <si>
    <t>1 (Early) → 3+ (Scale)</t>
  </si>
  <si>
    <t>SEO &amp; Organic Growth Specialist</t>
  </si>
  <si>
    <t>Handles website traffic, keyword ranking &amp; link-building.</t>
  </si>
  <si>
    <t>1 (Growth) → 2+ (Scale)</t>
  </si>
  <si>
    <t>Performance Marketing Manager (PPC)</t>
  </si>
  <si>
    <t>Runs Google Ads, LinkedIn Ads &amp; paid acquisition campaigns.</t>
  </si>
  <si>
    <t>1 (Growth) → 3+ (Scale)</t>
  </si>
  <si>
    <t>Marketing Automation Specialist</t>
  </si>
  <si>
    <t>Manages email campaigns, drip sequences &amp; CRM workflows.</t>
  </si>
  <si>
    <t>Social Media &amp; Community Manager</t>
  </si>
  <si>
    <t>Builds brand presence on LinkedIn, Twitter &amp; Slack communities.</t>
  </si>
  <si>
    <t>1 (Early) → 2+ (Scale)</t>
  </si>
  <si>
    <t>PR &amp; Media Relations Manager</t>
  </si>
  <si>
    <t>Handles press releases, thought leadership &amp; industry outreach.</t>
  </si>
  <si>
    <t>Event &amp; Webinar Marketing Manager</t>
  </si>
  <si>
    <t>Plans conferences, virtual events, and speaking engagements.</t>
  </si>
  <si>
    <t>Video Content Creator</t>
  </si>
  <si>
    <t>Produces product demos, testimonials &amp; video ads.</t>
  </si>
  <si>
    <t>Partner &amp; Affiliate Marketing Manager</t>
  </si>
  <si>
    <t>Develops strategic alliances &amp; referral programs.</t>
  </si>
  <si>
    <t>Marketing Team Roles &amp; Headcount</t>
  </si>
  <si>
    <t>Chief Marketing Officer</t>
  </si>
  <si>
    <r>
      <t>Head of Marketing</t>
    </r>
    <r>
      <rPr>
        <sz val="12"/>
        <color theme="1"/>
        <rFont val="Aptos Narrow"/>
        <family val="2"/>
        <scheme val="minor"/>
      </rPr>
      <t xml:space="preserve"> (1)</t>
    </r>
  </si>
  <si>
    <r>
      <t xml:space="preserve">✔ </t>
    </r>
    <r>
      <rPr>
        <b/>
        <sz val="12"/>
        <color theme="1"/>
        <rFont val="Aptos Narrow"/>
        <family val="2"/>
        <scheme val="minor"/>
      </rPr>
      <t>Growth Team</t>
    </r>
    <r>
      <rPr>
        <sz val="12"/>
        <color theme="1"/>
        <rFont val="Aptos Narrow"/>
        <family val="2"/>
        <scheme val="minor"/>
      </rPr>
      <t xml:space="preserve"> (2) → Growth Marketing Manager, SEO/Automation Specialist</t>
    </r>
  </si>
  <si>
    <r>
      <t xml:space="preserve">✔ </t>
    </r>
    <r>
      <rPr>
        <b/>
        <sz val="12"/>
        <color theme="1"/>
        <rFont val="Aptos Narrow"/>
        <family val="2"/>
        <scheme val="minor"/>
      </rPr>
      <t>Brand &amp; Community</t>
    </r>
    <r>
      <rPr>
        <sz val="12"/>
        <color theme="1"/>
        <rFont val="Aptos Narrow"/>
        <family val="2"/>
        <scheme val="minor"/>
      </rPr>
      <t xml:space="preserve"> (2) → PR Manager, Social Media Manager</t>
    </r>
  </si>
  <si>
    <r>
      <t xml:space="preserve">✔ </t>
    </r>
    <r>
      <rPr>
        <b/>
        <sz val="12"/>
        <color theme="1"/>
        <rFont val="Aptos Narrow"/>
        <family val="2"/>
        <scheme val="minor"/>
      </rPr>
      <t>Content &amp; Creative</t>
    </r>
    <r>
      <rPr>
        <sz val="12"/>
        <color theme="1"/>
        <rFont val="Aptos Narrow"/>
        <family val="2"/>
        <scheme val="minor"/>
      </rPr>
      <t xml:space="preserve"> (2) → Content Manager, Video Designer</t>
    </r>
  </si>
  <si>
    <t>Head of Marketing</t>
  </si>
  <si>
    <t>Growth</t>
  </si>
  <si>
    <t>Branding</t>
  </si>
  <si>
    <t>Content &amp; Creative</t>
  </si>
  <si>
    <t>Total Marketing Salary</t>
  </si>
  <si>
    <t>Total Marketing Expense</t>
  </si>
  <si>
    <t>Total Sales Salary</t>
  </si>
  <si>
    <t>Office Rent</t>
  </si>
  <si>
    <t>Utilities</t>
  </si>
  <si>
    <t>G&amp;A Team Roles &amp; Headcount</t>
  </si>
  <si>
    <t>]</t>
  </si>
  <si>
    <t>Chair/Empoloyee/Monthly</t>
  </si>
  <si>
    <t>Emp/Monthly</t>
  </si>
  <si>
    <t>Account &amp; Finance</t>
  </si>
  <si>
    <t>Legal</t>
  </si>
  <si>
    <t>HR</t>
  </si>
  <si>
    <t>Product Development Expense</t>
  </si>
  <si>
    <t xml:space="preserve">Infrastructure </t>
  </si>
  <si>
    <t>Product Development Team Roles &amp; Headcount</t>
  </si>
  <si>
    <t>Product Developemt Team</t>
  </si>
  <si>
    <t>Total G&amp;A Salary</t>
  </si>
  <si>
    <t>Total G&amp;A Expense</t>
  </si>
  <si>
    <t>Total Product Development Expense</t>
  </si>
  <si>
    <t>Revenues</t>
  </si>
  <si>
    <t>[+]</t>
  </si>
  <si>
    <t>Direct Expenses</t>
  </si>
  <si>
    <t>[-]</t>
  </si>
  <si>
    <t>Gross Profit</t>
  </si>
  <si>
    <t>Gross Profit %</t>
  </si>
  <si>
    <t>Operating Expenses</t>
  </si>
  <si>
    <t>Total Operating Expense</t>
  </si>
  <si>
    <t>EBITDA%</t>
  </si>
  <si>
    <t>Depreciation and Amortization</t>
  </si>
  <si>
    <t>Interest Expense</t>
  </si>
  <si>
    <t>EBT</t>
  </si>
  <si>
    <t>EBT %</t>
  </si>
  <si>
    <t>Tax Expense</t>
  </si>
  <si>
    <t>EAT</t>
  </si>
  <si>
    <t>EAT%</t>
  </si>
  <si>
    <t>Treatment of  Tax</t>
  </si>
  <si>
    <t>Taxable Income</t>
  </si>
  <si>
    <t>Cumulative Taxable Imcome</t>
  </si>
  <si>
    <t>COGS</t>
  </si>
  <si>
    <t xml:space="preserve">Sales </t>
  </si>
  <si>
    <t>Total Commissions</t>
  </si>
  <si>
    <t>Product Development</t>
  </si>
  <si>
    <t>Empolyees Benefit Expense</t>
  </si>
  <si>
    <t>I. Equity &amp; Liabilities</t>
  </si>
  <si>
    <t>Shareholders' Fund</t>
  </si>
  <si>
    <t>Share Capital</t>
  </si>
  <si>
    <t>Reserves &amp; Surplus</t>
  </si>
  <si>
    <t>TOTAL Shareholders Funds</t>
  </si>
  <si>
    <t>Liabilities</t>
  </si>
  <si>
    <t>Non-current liabilities</t>
  </si>
  <si>
    <t>Long-term borrowings</t>
  </si>
  <si>
    <t>Current Liabilities</t>
  </si>
  <si>
    <t>Trade Payables</t>
  </si>
  <si>
    <t>Other current liabilities</t>
  </si>
  <si>
    <t>TOTAL Liabilities</t>
  </si>
  <si>
    <t>TOTAL  Equity and Liabilities</t>
  </si>
  <si>
    <t>II. Assets</t>
  </si>
  <si>
    <t>Non-Current Assets</t>
  </si>
  <si>
    <t>Fixed Assets</t>
  </si>
  <si>
    <t>Tangible assets</t>
  </si>
  <si>
    <t>Intangible assets</t>
  </si>
  <si>
    <t>Other Non Current Asset</t>
  </si>
  <si>
    <t>Total Non Current Assets</t>
  </si>
  <si>
    <t>Current Assets</t>
  </si>
  <si>
    <t>Trade Receivables</t>
  </si>
  <si>
    <t>Inventory</t>
  </si>
  <si>
    <t>Cash and Cash Equivalents</t>
  </si>
  <si>
    <t>Short Term Loans and Advances</t>
  </si>
  <si>
    <t>Total Current Assets</t>
  </si>
  <si>
    <t>Total Assets</t>
  </si>
  <si>
    <t>Check</t>
  </si>
  <si>
    <t>Cash Flow from Operations-</t>
  </si>
  <si>
    <t>Profit After Tax</t>
  </si>
  <si>
    <t>Depreciation and Amortization Expenses</t>
  </si>
  <si>
    <t>Interest Expenses</t>
  </si>
  <si>
    <t>Preliminary Expenses written off</t>
  </si>
  <si>
    <t>Interest Received</t>
  </si>
  <si>
    <t>Loss/Profit on Sale of Assets</t>
  </si>
  <si>
    <t>Liabilities written off</t>
  </si>
  <si>
    <t>Operating Profit before Working Capital Changes</t>
  </si>
  <si>
    <t>Changes in working Capital</t>
  </si>
  <si>
    <t>Inventories</t>
  </si>
  <si>
    <t>Other Current Assets</t>
  </si>
  <si>
    <t>Other Current Liabilities</t>
  </si>
  <si>
    <t>Change in Cash Flow from Operations</t>
  </si>
  <si>
    <t>Cash Flow from Investing Activites-</t>
  </si>
  <si>
    <t>Purchase/sale of Non current Assets</t>
  </si>
  <si>
    <t>Purchase/sale of Other Non Current Asset</t>
  </si>
  <si>
    <t>Changes in Cash Flow from Investing</t>
  </si>
  <si>
    <t>Cash Flow from Financing Activities-</t>
  </si>
  <si>
    <t>Increase/Decrease in Share Capital</t>
  </si>
  <si>
    <t>Premium Collected on issue of Shares</t>
  </si>
  <si>
    <t>Increase/Decrease in Long Term Borrowings</t>
  </si>
  <si>
    <t>Increase/Decrease in Other Short Term Borrowings</t>
  </si>
  <si>
    <t>Changes in Cash Flow from Financing</t>
  </si>
  <si>
    <t>Net Changes in Cash &amp; Cash Equivalents</t>
  </si>
  <si>
    <t>Cash Opening balance</t>
  </si>
  <si>
    <t>Cash Closing Balance</t>
  </si>
  <si>
    <t>Cash Burn 12 M</t>
  </si>
  <si>
    <t>Cash Burn 18 M</t>
  </si>
  <si>
    <t>Cash Burn 24 M</t>
  </si>
  <si>
    <t>Deferred Revenue</t>
  </si>
  <si>
    <t>EV/Revenue Multiple</t>
  </si>
  <si>
    <t>Industry Median</t>
  </si>
  <si>
    <t>(In INR Crore)</t>
  </si>
  <si>
    <t>(In $ Mn)</t>
  </si>
  <si>
    <t>Discount Rate</t>
  </si>
  <si>
    <t>Post Money Valuation</t>
  </si>
  <si>
    <t>Total Investment</t>
  </si>
  <si>
    <t>Pre Money Valuation</t>
  </si>
  <si>
    <t>Funding Round Stake sale</t>
  </si>
  <si>
    <t>Commonsize Statement</t>
  </si>
  <si>
    <t>Instasell</t>
  </si>
  <si>
    <t>Mar 00, 2022</t>
  </si>
  <si>
    <t>DEC 00, 2021</t>
  </si>
  <si>
    <t>$525k</t>
  </si>
  <si>
    <t>$33.3k</t>
  </si>
  <si>
    <t>NA</t>
  </si>
  <si>
    <t>Feb 16, 2022</t>
  </si>
  <si>
    <t>$700.0K</t>
  </si>
  <si>
    <t>May 31, 2021</t>
  </si>
  <si>
    <t>$369.5K</t>
  </si>
  <si>
    <t>Feb 06, 2021</t>
  </si>
  <si>
    <t>$23.3K</t>
  </si>
  <si>
    <t>Nov 30, 2020</t>
  </si>
  <si>
    <t>$31.1K</t>
  </si>
  <si>
    <t>Oct 29, 2020</t>
  </si>
  <si>
    <t>Baaz</t>
  </si>
  <si>
    <t>Head Count</t>
  </si>
  <si>
    <t>Sales</t>
  </si>
  <si>
    <t>Customer Support Team</t>
  </si>
  <si>
    <t>Total Headcount</t>
  </si>
  <si>
    <t>Type 1 SMB's</t>
  </si>
  <si>
    <t>Type 2 SMB's</t>
  </si>
  <si>
    <t>Type 1 SMBs Annual Cost</t>
  </si>
  <si>
    <t>Type 2 SMBs Annual Cost</t>
  </si>
  <si>
    <t>Total MRR</t>
  </si>
  <si>
    <t>Total ARR</t>
  </si>
  <si>
    <t>Type 1 &amp; 2 SMBs</t>
  </si>
  <si>
    <t>Sales &amp; Marketing Expense</t>
  </si>
  <si>
    <t>Advetising/Marketing Expense Type 1 SMBs Focused</t>
  </si>
  <si>
    <t>Advetising/Marketing Expense Type 2 SMBs Focused</t>
  </si>
  <si>
    <t>Cost/Lead Type 1</t>
  </si>
  <si>
    <t>Cost/Lead Type 2</t>
  </si>
  <si>
    <t>Sales &amp; Marketing</t>
  </si>
  <si>
    <t>Venture Capital Method Valuation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</si>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</sst>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&quot;YEAR  &quot;0"/>
    <numFmt numFmtId="166" formatCode="&quot;Month  &quot;0"/>
    <numFmt numFmtId="167" formatCode="_(* #,##0.0_);_(* \(#,##0.0\);_(* &quot;-&quot;??_);_(@_)"/>
    <numFmt numFmtId="168" formatCode="_(* #,##0_);_(* \(#,##0\);_(* &quot;-&quot;??_);_(@_)"/>
    <numFmt numFmtId="169" formatCode="0.0%"/>
    <numFmt numFmtId="170" formatCode="0.0"/>
    <numFmt numFmtId="171" formatCode="_(* #,##0_);_(* \(#,##0\);_(* &quot;-&quot;?_);_(@_)"/>
    <numFmt numFmtId="172" formatCode="0.0&quot;x&quot;"/>
    <numFmt numFmtId="173" formatCode="_(* #,##0.000_);_(* \(#,##0.000\);_(* &quot;-&quot;??_);_(@_)"/>
    <numFmt numFmtId="174" formatCode="&quot;Year&quot;\ 0"/>
    <numFmt numFmtId="175" formatCode="_ * #,##0_ ;_ * \-#,##0_ ;_ * &quot;-&quot;??_ ;_ @_ 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24386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13.5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i/>
      <sz val="12"/>
      <color rgb="FFFF0000"/>
      <name val="Aptos Narrow"/>
      <scheme val="minor"/>
    </font>
    <font>
      <b/>
      <sz val="18"/>
      <color rgb="FF1EB1CE"/>
      <name val="Aptos Narrow"/>
      <scheme val="minor"/>
    </font>
    <font>
      <b/>
      <sz val="12"/>
      <color rgb="FFFFFFFF"/>
      <name val="Aptos Narrow"/>
      <scheme val="minor"/>
    </font>
    <font>
      <sz val="12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i/>
      <sz val="12"/>
      <color rgb="FF000000"/>
      <name val="Aptos Narrow"/>
      <scheme val="minor"/>
    </font>
    <font>
      <sz val="12"/>
      <color theme="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0"/>
      <color rgb="FF000000"/>
      <name val="Arial"/>
      <family val="2"/>
    </font>
    <font>
      <sz val="10"/>
      <color rgb="FF000000"/>
      <name val="Aptos Narrow"/>
      <scheme val="minor"/>
    </font>
    <font>
      <b/>
      <sz val="11"/>
      <color theme="0"/>
      <name val="Aptos Narrow"/>
      <scheme val="minor"/>
    </font>
    <font>
      <b/>
      <sz val="12"/>
      <color theme="9" tint="-0.499984740745262"/>
      <name val="Aptos Narrow"/>
      <scheme val="minor"/>
    </font>
    <font>
      <b/>
      <i/>
      <sz val="12"/>
      <color rgb="FF000000"/>
      <name val="Aptos Narrow"/>
      <scheme val="minor"/>
    </font>
    <font>
      <b/>
      <sz val="10"/>
      <color rgb="FFFFFFFF"/>
      <name val="Cambria"/>
      <family val="1"/>
    </font>
    <font>
      <sz val="10"/>
      <name val="Cambria"/>
      <family val="1"/>
    </font>
    <font>
      <b/>
      <sz val="18"/>
      <color theme="4"/>
      <name val="Aptos Narrow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110FF"/>
        <bgColor indexed="64"/>
      </patternFill>
    </fill>
    <fill>
      <patternFill patternType="solid">
        <fgColor rgb="FFBA6A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110FF"/>
        <bgColor rgb="FFD8D8D8"/>
      </patternFill>
    </fill>
    <fill>
      <patternFill patternType="solid">
        <fgColor rgb="FF9110FF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C5ADB"/>
      </patternFill>
    </fill>
    <fill>
      <patternFill patternType="solid">
        <fgColor rgb="FF9110FF"/>
        <bgColor rgb="FF0C5ADB"/>
      </patternFill>
    </fill>
    <fill>
      <patternFill patternType="solid">
        <fgColor rgb="FFFFC000"/>
        <bgColor rgb="FFFFC000"/>
      </patternFill>
    </fill>
    <fill>
      <patternFill patternType="solid">
        <fgColor rgb="FF9110FF"/>
        <bgColor rgb="FF002060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1" fillId="0" borderId="0"/>
    <xf numFmtId="0" fontId="6" fillId="0" borderId="0"/>
  </cellStyleXfs>
  <cellXfs count="272">
    <xf numFmtId="0" fontId="0" fillId="0" borderId="0" xfId="0"/>
    <xf numFmtId="0" fontId="4" fillId="0" borderId="0" xfId="3" applyFont="1"/>
    <xf numFmtId="0" fontId="5" fillId="0" borderId="0" xfId="3" applyFont="1"/>
    <xf numFmtId="0" fontId="1" fillId="0" borderId="0" xfId="0" applyFont="1"/>
    <xf numFmtId="0" fontId="6" fillId="0" borderId="0" xfId="0" applyFont="1"/>
    <xf numFmtId="0" fontId="1" fillId="0" borderId="1" xfId="0" applyFont="1" applyBorder="1"/>
    <xf numFmtId="0" fontId="1" fillId="0" borderId="2" xfId="0" applyFont="1" applyBorder="1"/>
    <xf numFmtId="0" fontId="7" fillId="0" borderId="0" xfId="3" applyFont="1" applyAlignment="1">
      <alignment horizontal="left" vertical="top"/>
    </xf>
    <xf numFmtId="0" fontId="8" fillId="0" borderId="0" xfId="0" applyFont="1"/>
    <xf numFmtId="0" fontId="9" fillId="0" borderId="0" xfId="3" applyFont="1"/>
    <xf numFmtId="0" fontId="1" fillId="0" borderId="0" xfId="3"/>
    <xf numFmtId="0" fontId="0" fillId="2" borderId="0" xfId="0" applyFill="1"/>
    <xf numFmtId="0" fontId="10" fillId="0" borderId="0" xfId="3" applyFont="1"/>
    <xf numFmtId="0" fontId="3" fillId="0" borderId="0" xfId="3" applyFont="1"/>
    <xf numFmtId="0" fontId="11" fillId="2" borderId="0" xfId="3" applyFont="1" applyFill="1"/>
    <xf numFmtId="0" fontId="12" fillId="2" borderId="0" xfId="3" applyFont="1" applyFill="1"/>
    <xf numFmtId="0" fontId="13" fillId="2" borderId="0" xfId="3" applyFont="1" applyFill="1"/>
    <xf numFmtId="0" fontId="12" fillId="2" borderId="0" xfId="0" applyFont="1" applyFill="1"/>
    <xf numFmtId="166" fontId="12" fillId="2" borderId="0" xfId="0" applyNumberFormat="1" applyFont="1" applyFill="1"/>
    <xf numFmtId="165" fontId="2" fillId="4" borderId="0" xfId="0" applyNumberFormat="1" applyFont="1" applyFill="1"/>
    <xf numFmtId="166" fontId="3" fillId="5" borderId="0" xfId="0" applyNumberFormat="1" applyFont="1" applyFill="1"/>
    <xf numFmtId="165" fontId="2" fillId="4" borderId="1" xfId="0" applyNumberFormat="1" applyFont="1" applyFill="1" applyBorder="1"/>
    <xf numFmtId="0" fontId="14" fillId="0" borderId="0" xfId="0" applyFont="1"/>
    <xf numFmtId="167" fontId="0" fillId="0" borderId="0" xfId="1" applyNumberFormat="1" applyFont="1"/>
    <xf numFmtId="168" fontId="0" fillId="0" borderId="0" xfId="1" applyNumberFormat="1" applyFont="1"/>
    <xf numFmtId="0" fontId="0" fillId="0" borderId="0" xfId="0" applyAlignment="1">
      <alignment horizontal="right"/>
    </xf>
    <xf numFmtId="0" fontId="0" fillId="6" borderId="0" xfId="0" applyFill="1"/>
    <xf numFmtId="0" fontId="0" fillId="6" borderId="4" xfId="0" applyFill="1" applyBorder="1"/>
    <xf numFmtId="9" fontId="0" fillId="6" borderId="4" xfId="0" applyNumberFormat="1" applyFill="1" applyBorder="1"/>
    <xf numFmtId="0" fontId="15" fillId="0" borderId="0" xfId="0" applyFont="1"/>
    <xf numFmtId="0" fontId="12" fillId="0" borderId="0" xfId="0" applyFont="1"/>
    <xf numFmtId="0" fontId="0" fillId="8" borderId="0" xfId="0" applyFill="1"/>
    <xf numFmtId="0" fontId="15" fillId="2" borderId="0" xfId="0" applyFont="1" applyFill="1"/>
    <xf numFmtId="167" fontId="0" fillId="0" borderId="1" xfId="1" applyNumberFormat="1" applyFont="1" applyBorder="1"/>
    <xf numFmtId="167" fontId="15" fillId="2" borderId="0" xfId="1" applyNumberFormat="1" applyFont="1" applyFill="1"/>
    <xf numFmtId="167" fontId="0" fillId="2" borderId="0" xfId="1" applyNumberFormat="1" applyFont="1" applyFill="1"/>
    <xf numFmtId="167" fontId="15" fillId="0" borderId="0" xfId="1" applyNumberFormat="1" applyFont="1"/>
    <xf numFmtId="168" fontId="12" fillId="0" borderId="0" xfId="1" applyNumberFormat="1" applyFont="1"/>
    <xf numFmtId="167" fontId="12" fillId="0" borderId="0" xfId="1" applyNumberFormat="1" applyFont="1" applyAlignment="1">
      <alignment horizontal="left"/>
    </xf>
    <xf numFmtId="0" fontId="16" fillId="0" borderId="0" xfId="0" applyFont="1"/>
    <xf numFmtId="0" fontId="3" fillId="0" borderId="0" xfId="0" applyFont="1"/>
    <xf numFmtId="0" fontId="17" fillId="0" borderId="0" xfId="0" applyFont="1"/>
    <xf numFmtId="168" fontId="0" fillId="6" borderId="4" xfId="1" applyNumberFormat="1" applyFont="1" applyFill="1" applyBorder="1"/>
    <xf numFmtId="168" fontId="0" fillId="6" borderId="4" xfId="0" applyNumberFormat="1" applyFill="1" applyBorder="1"/>
    <xf numFmtId="9" fontId="0" fillId="6" borderId="4" xfId="2" applyFont="1" applyFill="1" applyBorder="1"/>
    <xf numFmtId="169" fontId="0" fillId="6" borderId="4" xfId="2" applyNumberFormat="1" applyFont="1" applyFill="1" applyBorder="1"/>
    <xf numFmtId="10" fontId="0" fillId="6" borderId="4" xfId="0" applyNumberFormat="1" applyFill="1" applyBorder="1"/>
    <xf numFmtId="170" fontId="0" fillId="0" borderId="0" xfId="0" applyNumberFormat="1"/>
    <xf numFmtId="0" fontId="14" fillId="2" borderId="0" xfId="0" applyFont="1" applyFill="1"/>
    <xf numFmtId="168" fontId="14" fillId="0" borderId="1" xfId="0" applyNumberFormat="1" applyFont="1" applyBorder="1"/>
    <xf numFmtId="0" fontId="15" fillId="9" borderId="0" xfId="0" applyFont="1" applyFill="1"/>
    <xf numFmtId="0" fontId="0" fillId="9" borderId="0" xfId="0" applyFill="1"/>
    <xf numFmtId="0" fontId="14" fillId="9" borderId="0" xfId="0" applyFont="1" applyFill="1"/>
    <xf numFmtId="0" fontId="12" fillId="10" borderId="0" xfId="3" applyFont="1" applyFill="1"/>
    <xf numFmtId="0" fontId="13" fillId="10" borderId="0" xfId="3" applyFont="1" applyFill="1"/>
    <xf numFmtId="0" fontId="12" fillId="10" borderId="0" xfId="0" applyFont="1" applyFill="1"/>
    <xf numFmtId="166" fontId="12" fillId="10" borderId="0" xfId="0" applyNumberFormat="1" applyFont="1" applyFill="1"/>
    <xf numFmtId="9" fontId="0" fillId="8" borderId="0" xfId="0" applyNumberFormat="1" applyFill="1"/>
    <xf numFmtId="9" fontId="0" fillId="8" borderId="0" xfId="2" applyFont="1" applyFill="1" applyBorder="1"/>
    <xf numFmtId="168" fontId="0" fillId="9" borderId="0" xfId="0" applyNumberFormat="1" applyFill="1"/>
    <xf numFmtId="0" fontId="12" fillId="0" borderId="0" xfId="0" applyFont="1" applyAlignment="1">
      <alignment horizontal="right"/>
    </xf>
    <xf numFmtId="168" fontId="0" fillId="11" borderId="4" xfId="1" applyNumberFormat="1" applyFont="1" applyFill="1" applyBorder="1"/>
    <xf numFmtId="167" fontId="12" fillId="0" borderId="0" xfId="1" applyNumberFormat="1" applyFont="1" applyAlignment="1">
      <alignment horizontal="right"/>
    </xf>
    <xf numFmtId="0" fontId="12" fillId="6" borderId="4" xfId="0" applyFont="1" applyFill="1" applyBorder="1"/>
    <xf numFmtId="9" fontId="12" fillId="6" borderId="4" xfId="2" applyFont="1" applyFill="1" applyBorder="1"/>
    <xf numFmtId="0" fontId="18" fillId="0" borderId="0" xfId="0" applyFont="1"/>
    <xf numFmtId="171" fontId="0" fillId="0" borderId="0" xfId="0" applyNumberFormat="1"/>
    <xf numFmtId="164" fontId="19" fillId="0" borderId="0" xfId="0" applyNumberFormat="1" applyFont="1"/>
    <xf numFmtId="9" fontId="0" fillId="6" borderId="0" xfId="2" applyFont="1" applyFill="1" applyBorder="1"/>
    <xf numFmtId="168" fontId="18" fillId="0" borderId="0" xfId="1" applyNumberFormat="1" applyFont="1"/>
    <xf numFmtId="167" fontId="0" fillId="7" borderId="0" xfId="1" applyNumberFormat="1" applyFont="1" applyFill="1"/>
    <xf numFmtId="169" fontId="0" fillId="6" borderId="0" xfId="2" applyNumberFormat="1" applyFont="1" applyFill="1"/>
    <xf numFmtId="168" fontId="0" fillId="0" borderId="0" xfId="0" applyNumberFormat="1"/>
    <xf numFmtId="168" fontId="14" fillId="3" borderId="0" xfId="1" applyNumberFormat="1" applyFont="1" applyFill="1"/>
    <xf numFmtId="168" fontId="14" fillId="8" borderId="0" xfId="1" applyNumberFormat="1" applyFont="1" applyFill="1"/>
    <xf numFmtId="168" fontId="14" fillId="0" borderId="0" xfId="0" applyNumberFormat="1" applyFont="1"/>
    <xf numFmtId="167" fontId="0" fillId="0" borderId="0" xfId="0" applyNumberFormat="1"/>
    <xf numFmtId="9" fontId="18" fillId="0" borderId="0" xfId="2" applyFont="1"/>
    <xf numFmtId="168" fontId="14" fillId="0" borderId="0" xfId="1" applyNumberFormat="1" applyFont="1"/>
    <xf numFmtId="165" fontId="2" fillId="8" borderId="0" xfId="0" applyNumberFormat="1" applyFont="1" applyFill="1"/>
    <xf numFmtId="165" fontId="2" fillId="8" borderId="1" xfId="0" applyNumberFormat="1" applyFont="1" applyFill="1" applyBorder="1"/>
    <xf numFmtId="166" fontId="3" fillId="8" borderId="0" xfId="0" applyNumberFormat="1" applyFont="1" applyFill="1"/>
    <xf numFmtId="0" fontId="3" fillId="0" borderId="3" xfId="0" applyFont="1" applyBorder="1"/>
    <xf numFmtId="0" fontId="20" fillId="0" borderId="0" xfId="0" applyFont="1" applyAlignment="1">
      <alignment horizontal="left"/>
    </xf>
    <xf numFmtId="0" fontId="13" fillId="0" borderId="0" xfId="0" applyFont="1"/>
    <xf numFmtId="0" fontId="11" fillId="0" borderId="0" xfId="0" applyFont="1"/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/>
    <xf numFmtId="0" fontId="13" fillId="0" borderId="6" xfId="0" applyFont="1" applyBorder="1" applyAlignment="1">
      <alignment horizontal="center" vertical="center"/>
    </xf>
    <xf numFmtId="15" fontId="13" fillId="0" borderId="6" xfId="0" applyNumberFormat="1" applyFont="1" applyBorder="1"/>
    <xf numFmtId="0" fontId="13" fillId="0" borderId="6" xfId="0" applyFont="1" applyBorder="1" applyAlignment="1">
      <alignment horizontal="left"/>
    </xf>
    <xf numFmtId="167" fontId="13" fillId="0" borderId="6" xfId="1" applyNumberFormat="1" applyFont="1" applyBorder="1"/>
    <xf numFmtId="172" fontId="11" fillId="0" borderId="6" xfId="0" applyNumberFormat="1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/>
    <xf numFmtId="0" fontId="13" fillId="0" borderId="9" xfId="0" applyFont="1" applyBorder="1" applyAlignment="1">
      <alignment horizontal="left"/>
    </xf>
    <xf numFmtId="164" fontId="13" fillId="0" borderId="9" xfId="0" applyNumberFormat="1" applyFont="1" applyBorder="1" applyAlignment="1">
      <alignment horizontal="left"/>
    </xf>
    <xf numFmtId="164" fontId="22" fillId="12" borderId="9" xfId="0" applyNumberFormat="1" applyFont="1" applyFill="1" applyBorder="1" applyAlignment="1">
      <alignment horizontal="right" vertical="center" wrapText="1"/>
    </xf>
    <xf numFmtId="164" fontId="13" fillId="0" borderId="9" xfId="0" applyNumberFormat="1" applyFont="1" applyBorder="1"/>
    <xf numFmtId="0" fontId="11" fillId="0" borderId="10" xfId="0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left"/>
    </xf>
    <xf numFmtId="164" fontId="13" fillId="0" borderId="9" xfId="0" applyNumberFormat="1" applyFont="1" applyBorder="1" applyAlignment="1">
      <alignment horizontal="right"/>
    </xf>
    <xf numFmtId="0" fontId="13" fillId="8" borderId="8" xfId="0" applyFont="1" applyFill="1" applyBorder="1"/>
    <xf numFmtId="0" fontId="13" fillId="8" borderId="8" xfId="0" applyFont="1" applyFill="1" applyBorder="1" applyAlignment="1">
      <alignment horizontal="center" vertical="center"/>
    </xf>
    <xf numFmtId="15" fontId="13" fillId="8" borderId="8" xfId="0" applyNumberFormat="1" applyFont="1" applyFill="1" applyBorder="1"/>
    <xf numFmtId="164" fontId="13" fillId="8" borderId="8" xfId="0" applyNumberFormat="1" applyFont="1" applyFill="1" applyBorder="1" applyAlignment="1">
      <alignment horizontal="left"/>
    </xf>
    <xf numFmtId="0" fontId="22" fillId="13" borderId="8" xfId="0" applyFont="1" applyFill="1" applyBorder="1" applyAlignment="1">
      <alignment horizontal="left" vertical="center" wrapText="1"/>
    </xf>
    <xf numFmtId="164" fontId="22" fillId="13" borderId="8" xfId="0" applyNumberFormat="1" applyFont="1" applyFill="1" applyBorder="1" applyAlignment="1">
      <alignment horizontal="right" vertical="center" wrapText="1"/>
    </xf>
    <xf numFmtId="164" fontId="13" fillId="13" borderId="8" xfId="0" applyNumberFormat="1" applyFont="1" applyFill="1" applyBorder="1"/>
    <xf numFmtId="172" fontId="11" fillId="8" borderId="8" xfId="0" applyNumberFormat="1" applyFont="1" applyFill="1" applyBorder="1" applyAlignment="1">
      <alignment horizontal="right"/>
    </xf>
    <xf numFmtId="172" fontId="11" fillId="13" borderId="8" xfId="0" applyNumberFormat="1" applyFont="1" applyFill="1" applyBorder="1" applyAlignment="1">
      <alignment horizontal="right"/>
    </xf>
    <xf numFmtId="173" fontId="13" fillId="0" borderId="6" xfId="1" applyNumberFormat="1" applyFont="1" applyBorder="1"/>
    <xf numFmtId="173" fontId="22" fillId="12" borderId="6" xfId="1" applyNumberFormat="1" applyFont="1" applyFill="1" applyBorder="1" applyAlignment="1">
      <alignment horizontal="right" vertical="center" wrapText="1"/>
    </xf>
    <xf numFmtId="0" fontId="11" fillId="10" borderId="0" xfId="3" applyFont="1" applyFill="1"/>
    <xf numFmtId="0" fontId="14" fillId="10" borderId="0" xfId="0" applyFont="1" applyFill="1"/>
    <xf numFmtId="0" fontId="0" fillId="10" borderId="0" xfId="0" applyFill="1"/>
    <xf numFmtId="168" fontId="0" fillId="6" borderId="0" xfId="1" applyNumberFormat="1" applyFont="1" applyFill="1"/>
    <xf numFmtId="0" fontId="0" fillId="8" borderId="4" xfId="0" applyFill="1" applyBorder="1"/>
    <xf numFmtId="0" fontId="0" fillId="0" borderId="4" xfId="0" applyBorder="1"/>
    <xf numFmtId="0" fontId="23" fillId="0" borderId="0" xfId="0" applyFont="1"/>
    <xf numFmtId="168" fontId="0" fillId="8" borderId="0" xfId="1" applyNumberFormat="1" applyFont="1" applyFill="1" applyBorder="1"/>
    <xf numFmtId="0" fontId="12" fillId="0" borderId="4" xfId="0" applyFont="1" applyBorder="1"/>
    <xf numFmtId="0" fontId="12" fillId="0" borderId="0" xfId="0" applyFont="1" applyAlignment="1">
      <alignment horizontal="left"/>
    </xf>
    <xf numFmtId="0" fontId="0" fillId="0" borderId="1" xfId="0" applyBorder="1"/>
    <xf numFmtId="171" fontId="0" fillId="0" borderId="1" xfId="0" applyNumberFormat="1" applyBorder="1"/>
    <xf numFmtId="171" fontId="14" fillId="0" borderId="0" xfId="0" applyNumberFormat="1" applyFont="1"/>
    <xf numFmtId="168" fontId="12" fillId="0" borderId="1" xfId="0" applyNumberFormat="1" applyFont="1" applyBorder="1"/>
    <xf numFmtId="0" fontId="0" fillId="8" borderId="0" xfId="0" applyFill="1" applyAlignment="1">
      <alignment horizontal="right"/>
    </xf>
    <xf numFmtId="0" fontId="0" fillId="0" borderId="0" xfId="0" applyAlignment="1">
      <alignment horizontal="left"/>
    </xf>
    <xf numFmtId="168" fontId="14" fillId="0" borderId="1" xfId="1" applyNumberFormat="1" applyFont="1" applyBorder="1"/>
    <xf numFmtId="168" fontId="12" fillId="0" borderId="1" xfId="1" applyNumberFormat="1" applyFont="1" applyBorder="1"/>
    <xf numFmtId="168" fontId="12" fillId="0" borderId="0" xfId="1" applyNumberFormat="1" applyFont="1" applyBorder="1"/>
    <xf numFmtId="168" fontId="14" fillId="0" borderId="0" xfId="1" applyNumberFormat="1" applyFont="1" applyBorder="1"/>
    <xf numFmtId="0" fontId="12" fillId="8" borderId="0" xfId="0" applyFont="1" applyFill="1"/>
    <xf numFmtId="9" fontId="12" fillId="8" borderId="0" xfId="2" applyFont="1" applyFill="1" applyBorder="1"/>
    <xf numFmtId="0" fontId="13" fillId="0" borderId="0" xfId="0" applyFont="1" applyAlignment="1">
      <alignment horizontal="left"/>
    </xf>
    <xf numFmtId="0" fontId="11" fillId="0" borderId="1" xfId="0" applyFont="1" applyBorder="1"/>
    <xf numFmtId="0" fontId="13" fillId="0" borderId="1" xfId="0" applyFont="1" applyBorder="1"/>
    <xf numFmtId="168" fontId="13" fillId="0" borderId="0" xfId="1" applyNumberFormat="1" applyFont="1"/>
    <xf numFmtId="0" fontId="25" fillId="0" borderId="0" xfId="0" applyFont="1"/>
    <xf numFmtId="168" fontId="13" fillId="0" borderId="0" xfId="1" applyNumberFormat="1" applyFont="1" applyAlignment="1">
      <alignment horizontal="left"/>
    </xf>
    <xf numFmtId="0" fontId="13" fillId="0" borderId="0" xfId="0" applyFont="1" applyAlignment="1">
      <alignment horizontal="left" indent="2"/>
    </xf>
    <xf numFmtId="168" fontId="13" fillId="0" borderId="1" xfId="0" applyNumberFormat="1" applyFont="1" applyBorder="1"/>
    <xf numFmtId="9" fontId="13" fillId="14" borderId="4" xfId="0" applyNumberFormat="1" applyFont="1" applyFill="1" applyBorder="1"/>
    <xf numFmtId="0" fontId="25" fillId="15" borderId="0" xfId="0" applyFont="1" applyFill="1"/>
    <xf numFmtId="0" fontId="13" fillId="15" borderId="0" xfId="0" applyFont="1" applyFill="1"/>
    <xf numFmtId="0" fontId="21" fillId="15" borderId="0" xfId="0" applyFont="1" applyFill="1"/>
    <xf numFmtId="167" fontId="13" fillId="0" borderId="0" xfId="1" applyNumberFormat="1" applyFont="1"/>
    <xf numFmtId="174" fontId="21" fillId="16" borderId="0" xfId="0" applyNumberFormat="1" applyFont="1" applyFill="1" applyAlignment="1">
      <alignment horizontal="center" vertical="center"/>
    </xf>
    <xf numFmtId="0" fontId="13" fillId="17" borderId="0" xfId="0" applyFont="1" applyFill="1"/>
    <xf numFmtId="168" fontId="24" fillId="17" borderId="0" xfId="0" applyNumberFormat="1" applyFont="1" applyFill="1"/>
    <xf numFmtId="0" fontId="13" fillId="0" borderId="0" xfId="0" applyFont="1" applyAlignment="1">
      <alignment horizontal="left" indent="1"/>
    </xf>
    <xf numFmtId="174" fontId="24" fillId="16" borderId="0" xfId="0" applyNumberFormat="1" applyFont="1" applyFill="1" applyAlignment="1">
      <alignment horizontal="center" vertical="center"/>
    </xf>
    <xf numFmtId="174" fontId="24" fillId="16" borderId="0" xfId="0" applyNumberFormat="1" applyFont="1" applyFill="1" applyAlignment="1">
      <alignment horizontal="left" vertical="center"/>
    </xf>
    <xf numFmtId="0" fontId="26" fillId="4" borderId="0" xfId="0" applyFont="1" applyFill="1"/>
    <xf numFmtId="168" fontId="24" fillId="4" borderId="0" xfId="0" applyNumberFormat="1" applyFont="1" applyFill="1"/>
    <xf numFmtId="174" fontId="21" fillId="16" borderId="0" xfId="0" applyNumberFormat="1" applyFont="1" applyFill="1" applyAlignment="1">
      <alignment horizontal="left" vertical="center"/>
    </xf>
    <xf numFmtId="0" fontId="0" fillId="4" borderId="0" xfId="0" applyFill="1"/>
    <xf numFmtId="0" fontId="27" fillId="0" borderId="0" xfId="3" applyFont="1"/>
    <xf numFmtId="0" fontId="28" fillId="0" borderId="0" xfId="3" applyFont="1"/>
    <xf numFmtId="0" fontId="29" fillId="0" borderId="0" xfId="3" applyFont="1"/>
    <xf numFmtId="0" fontId="30" fillId="0" borderId="1" xfId="3" applyFont="1" applyBorder="1"/>
    <xf numFmtId="0" fontId="27" fillId="0" borderId="1" xfId="3" applyFont="1" applyBorder="1"/>
    <xf numFmtId="0" fontId="12" fillId="0" borderId="1" xfId="0" applyFont="1" applyBorder="1"/>
    <xf numFmtId="0" fontId="30" fillId="0" borderId="0" xfId="4" applyFont="1"/>
    <xf numFmtId="0" fontId="29" fillId="0" borderId="0" xfId="4" applyFont="1"/>
    <xf numFmtId="0" fontId="28" fillId="0" borderId="0" xfId="4" applyFont="1"/>
    <xf numFmtId="0" fontId="28" fillId="0" borderId="0" xfId="4" applyFont="1" applyAlignment="1">
      <alignment horizontal="left" indent="1"/>
    </xf>
    <xf numFmtId="0" fontId="32" fillId="0" borderId="0" xfId="4" applyFont="1"/>
    <xf numFmtId="0" fontId="27" fillId="0" borderId="0" xfId="4" applyFont="1"/>
    <xf numFmtId="0" fontId="30" fillId="0" borderId="0" xfId="3" applyFont="1"/>
    <xf numFmtId="0" fontId="32" fillId="0" borderId="0" xfId="3" applyFont="1"/>
    <xf numFmtId="0" fontId="14" fillId="0" borderId="1" xfId="0" applyFont="1" applyBorder="1"/>
    <xf numFmtId="0" fontId="34" fillId="0" borderId="0" xfId="0" applyFont="1"/>
    <xf numFmtId="0" fontId="35" fillId="18" borderId="11" xfId="0" applyFont="1" applyFill="1" applyBorder="1"/>
    <xf numFmtId="0" fontId="12" fillId="18" borderId="11" xfId="0" applyFont="1" applyFill="1" applyBorder="1"/>
    <xf numFmtId="0" fontId="12" fillId="0" borderId="9" xfId="3" applyFont="1" applyBorder="1"/>
    <xf numFmtId="0" fontId="12" fillId="0" borderId="9" xfId="0" applyFont="1" applyBorder="1"/>
    <xf numFmtId="0" fontId="13" fillId="0" borderId="12" xfId="0" applyFont="1" applyBorder="1"/>
    <xf numFmtId="0" fontId="12" fillId="0" borderId="0" xfId="3" applyFont="1"/>
    <xf numFmtId="0" fontId="14" fillId="0" borderId="0" xfId="3" applyFont="1"/>
    <xf numFmtId="0" fontId="14" fillId="8" borderId="1" xfId="3" applyFont="1" applyFill="1" applyBorder="1"/>
    <xf numFmtId="0" fontId="14" fillId="8" borderId="0" xfId="3" applyFont="1" applyFill="1"/>
    <xf numFmtId="175" fontId="13" fillId="0" borderId="0" xfId="0" applyNumberFormat="1" applyFont="1"/>
    <xf numFmtId="0" fontId="24" fillId="19" borderId="0" xfId="3" applyFont="1" applyFill="1"/>
    <xf numFmtId="0" fontId="12" fillId="8" borderId="0" xfId="3" applyFont="1" applyFill="1"/>
    <xf numFmtId="0" fontId="13" fillId="8" borderId="0" xfId="3" applyFont="1" applyFill="1"/>
    <xf numFmtId="0" fontId="35" fillId="0" borderId="15" xfId="0" applyFont="1" applyBorder="1"/>
    <xf numFmtId="0" fontId="13" fillId="0" borderId="15" xfId="0" applyFont="1" applyBorder="1"/>
    <xf numFmtId="0" fontId="12" fillId="0" borderId="15" xfId="0" applyFont="1" applyBorder="1"/>
    <xf numFmtId="0" fontId="12" fillId="8" borderId="1" xfId="0" applyFont="1" applyFill="1" applyBorder="1"/>
    <xf numFmtId="4" fontId="24" fillId="0" borderId="0" xfId="0" applyNumberFormat="1" applyFont="1" applyAlignment="1">
      <alignment vertical="top"/>
    </xf>
    <xf numFmtId="0" fontId="24" fillId="0" borderId="0" xfId="0" applyFont="1"/>
    <xf numFmtId="0" fontId="11" fillId="0" borderId="11" xfId="0" applyFont="1" applyBorder="1"/>
    <xf numFmtId="0" fontId="14" fillId="0" borderId="11" xfId="0" applyFont="1" applyBorder="1"/>
    <xf numFmtId="0" fontId="14" fillId="0" borderId="13" xfId="0" applyFont="1" applyBorder="1"/>
    <xf numFmtId="0" fontId="12" fillId="8" borderId="13" xfId="0" applyFont="1" applyFill="1" applyBorder="1"/>
    <xf numFmtId="0" fontId="12" fillId="0" borderId="13" xfId="0" applyFont="1" applyBorder="1"/>
    <xf numFmtId="0" fontId="0" fillId="0" borderId="13" xfId="0" applyBorder="1"/>
    <xf numFmtId="168" fontId="14" fillId="0" borderId="13" xfId="1" applyNumberFormat="1" applyFont="1" applyBorder="1"/>
    <xf numFmtId="0" fontId="33" fillId="20" borderId="0" xfId="3" applyFont="1" applyFill="1"/>
    <xf numFmtId="4" fontId="33" fillId="20" borderId="0" xfId="3" applyNumberFormat="1" applyFont="1" applyFill="1" applyAlignment="1">
      <alignment vertical="top"/>
    </xf>
    <xf numFmtId="0" fontId="12" fillId="4" borderId="0" xfId="0" applyFont="1" applyFill="1"/>
    <xf numFmtId="4" fontId="24" fillId="20" borderId="0" xfId="3" applyNumberFormat="1" applyFont="1" applyFill="1" applyAlignment="1">
      <alignment vertical="top"/>
    </xf>
    <xf numFmtId="168" fontId="33" fillId="20" borderId="0" xfId="1" applyNumberFormat="1" applyFont="1" applyFill="1"/>
    <xf numFmtId="0" fontId="26" fillId="20" borderId="13" xfId="0" applyFont="1" applyFill="1" applyBorder="1"/>
    <xf numFmtId="0" fontId="24" fillId="20" borderId="13" xfId="0" applyFont="1" applyFill="1" applyBorder="1"/>
    <xf numFmtId="4" fontId="24" fillId="20" borderId="14" xfId="0" applyNumberFormat="1" applyFont="1" applyFill="1" applyBorder="1" applyAlignment="1">
      <alignment vertical="top"/>
    </xf>
    <xf numFmtId="0" fontId="26" fillId="4" borderId="13" xfId="3" applyFont="1" applyFill="1" applyBorder="1"/>
    <xf numFmtId="0" fontId="26" fillId="4" borderId="13" xfId="0" applyFont="1" applyFill="1" applyBorder="1"/>
    <xf numFmtId="168" fontId="24" fillId="4" borderId="13" xfId="0" applyNumberFormat="1" applyFont="1" applyFill="1" applyBorder="1"/>
    <xf numFmtId="168" fontId="24" fillId="4" borderId="13" xfId="1" applyNumberFormat="1" applyFont="1" applyFill="1" applyBorder="1"/>
    <xf numFmtId="0" fontId="24" fillId="4" borderId="13" xfId="3" applyFont="1" applyFill="1" applyBorder="1"/>
    <xf numFmtId="0" fontId="24" fillId="4" borderId="13" xfId="0" applyFont="1" applyFill="1" applyBorder="1"/>
    <xf numFmtId="168" fontId="24" fillId="17" borderId="0" xfId="1" applyNumberFormat="1" applyFont="1" applyFill="1"/>
    <xf numFmtId="168" fontId="24" fillId="4" borderId="0" xfId="1" applyNumberFormat="1" applyFont="1" applyFill="1"/>
    <xf numFmtId="0" fontId="14" fillId="0" borderId="0" xfId="0" applyFont="1" applyAlignment="1">
      <alignment horizontal="center" wrapText="1"/>
    </xf>
    <xf numFmtId="172" fontId="12" fillId="0" borderId="4" xfId="1" applyNumberFormat="1" applyFont="1" applyBorder="1"/>
    <xf numFmtId="0" fontId="13" fillId="0" borderId="4" xfId="0" applyFont="1" applyBorder="1"/>
    <xf numFmtId="168" fontId="12" fillId="0" borderId="4" xfId="1" applyNumberFormat="1" applyFont="1" applyBorder="1"/>
    <xf numFmtId="164" fontId="12" fillId="0" borderId="4" xfId="0" applyNumberFormat="1" applyFont="1" applyBorder="1"/>
    <xf numFmtId="0" fontId="29" fillId="0" borderId="0" xfId="0" applyFont="1"/>
    <xf numFmtId="0" fontId="11" fillId="0" borderId="4" xfId="0" applyFont="1" applyBorder="1" applyAlignment="1">
      <alignment horizontal="left"/>
    </xf>
    <xf numFmtId="9" fontId="11" fillId="21" borderId="4" xfId="0" applyNumberFormat="1" applyFont="1" applyFill="1" applyBorder="1" applyAlignment="1">
      <alignment horizontal="right"/>
    </xf>
    <xf numFmtId="9" fontId="14" fillId="6" borderId="4" xfId="0" applyNumberFormat="1" applyFont="1" applyFill="1" applyBorder="1"/>
    <xf numFmtId="164" fontId="11" fillId="0" borderId="4" xfId="1" applyFont="1" applyBorder="1" applyAlignment="1">
      <alignment horizontal="right"/>
    </xf>
    <xf numFmtId="164" fontId="14" fillId="0" borderId="4" xfId="1" applyFont="1" applyBorder="1"/>
    <xf numFmtId="169" fontId="11" fillId="0" borderId="4" xfId="0" applyNumberFormat="1" applyFont="1" applyBorder="1" applyAlignment="1">
      <alignment horizontal="right"/>
    </xf>
    <xf numFmtId="164" fontId="0" fillId="0" borderId="0" xfId="0" applyNumberFormat="1"/>
    <xf numFmtId="9" fontId="12" fillId="0" borderId="0" xfId="2" applyFont="1"/>
    <xf numFmtId="164" fontId="0" fillId="8" borderId="0" xfId="1" applyFont="1" applyFill="1"/>
    <xf numFmtId="9" fontId="24" fillId="4" borderId="0" xfId="2" applyFont="1" applyFill="1"/>
    <xf numFmtId="9" fontId="14" fillId="0" borderId="0" xfId="2" applyFont="1"/>
    <xf numFmtId="9" fontId="14" fillId="0" borderId="1" xfId="2" applyFont="1" applyBorder="1"/>
    <xf numFmtId="164" fontId="0" fillId="0" borderId="4" xfId="0" applyNumberFormat="1" applyBorder="1"/>
    <xf numFmtId="0" fontId="13" fillId="3" borderId="6" xfId="0" applyFont="1" applyFill="1" applyBorder="1" applyAlignment="1">
      <alignment horizontal="left"/>
    </xf>
    <xf numFmtId="0" fontId="36" fillId="8" borderId="0" xfId="0" applyFont="1" applyFill="1" applyAlignment="1">
      <alignment horizontal="left" vertical="center" wrapText="1"/>
    </xf>
    <xf numFmtId="0" fontId="36" fillId="8" borderId="0" xfId="0" applyFont="1" applyFill="1" applyAlignment="1">
      <alignment horizontal="left" vertical="center"/>
    </xf>
    <xf numFmtId="0" fontId="37" fillId="8" borderId="0" xfId="0" applyFont="1" applyFill="1" applyAlignment="1">
      <alignment horizontal="right" vertical="center" wrapText="1"/>
    </xf>
    <xf numFmtId="0" fontId="37" fillId="8" borderId="0" xfId="0" applyFont="1" applyFill="1" applyAlignment="1">
      <alignment horizontal="left" vertical="center" wrapText="1"/>
    </xf>
    <xf numFmtId="3" fontId="37" fillId="8" borderId="0" xfId="0" applyNumberFormat="1" applyFont="1" applyFill="1" applyAlignment="1">
      <alignment horizontal="right" vertical="center" wrapText="1"/>
    </xf>
    <xf numFmtId="0" fontId="37" fillId="8" borderId="0" xfId="0" applyFont="1" applyFill="1" applyAlignment="1">
      <alignment horizontal="left" vertical="center"/>
    </xf>
    <xf numFmtId="0" fontId="21" fillId="22" borderId="4" xfId="0" applyFont="1" applyFill="1" applyBorder="1" applyAlignment="1">
      <alignment horizontal="left"/>
    </xf>
    <xf numFmtId="167" fontId="21" fillId="22" borderId="4" xfId="1" applyNumberFormat="1" applyFont="1" applyFill="1" applyBorder="1" applyAlignment="1">
      <alignment horizontal="right"/>
    </xf>
    <xf numFmtId="164" fontId="24" fillId="4" borderId="4" xfId="1" applyFont="1" applyFill="1" applyBorder="1"/>
    <xf numFmtId="0" fontId="24" fillId="22" borderId="4" xfId="0" applyFont="1" applyFill="1" applyBorder="1" applyAlignment="1">
      <alignment horizontal="left"/>
    </xf>
    <xf numFmtId="168" fontId="24" fillId="22" borderId="4" xfId="1" applyNumberFormat="1" applyFont="1" applyFill="1" applyBorder="1" applyAlignment="1">
      <alignment horizontal="right"/>
    </xf>
    <xf numFmtId="164" fontId="24" fillId="4" borderId="4" xfId="0" applyNumberFormat="1" applyFont="1" applyFill="1" applyBorder="1"/>
    <xf numFmtId="168" fontId="14" fillId="0" borderId="16" xfId="0" applyNumberFormat="1" applyFont="1" applyBorder="1"/>
    <xf numFmtId="168" fontId="0" fillId="0" borderId="0" xfId="0" applyNumberFormat="1" applyAlignment="1">
      <alignment horizontal="right"/>
    </xf>
    <xf numFmtId="0" fontId="21" fillId="17" borderId="0" xfId="0" applyFont="1" applyFill="1" applyAlignment="1">
      <alignment horizontal="center" vertical="center" wrapText="1"/>
    </xf>
    <xf numFmtId="168" fontId="0" fillId="0" borderId="17" xfId="1" applyNumberFormat="1" applyFont="1" applyBorder="1"/>
    <xf numFmtId="9" fontId="0" fillId="0" borderId="0" xfId="2" applyFont="1"/>
    <xf numFmtId="167" fontId="0" fillId="6" borderId="0" xfId="1" applyNumberFormat="1" applyFont="1" applyFill="1"/>
    <xf numFmtId="0" fontId="11" fillId="23" borderId="0" xfId="3" applyFont="1" applyFill="1"/>
    <xf numFmtId="0" fontId="3" fillId="23" borderId="0" xfId="3" applyFont="1" applyFill="1"/>
    <xf numFmtId="0" fontId="9" fillId="23" borderId="0" xfId="3" applyFont="1" applyFill="1"/>
    <xf numFmtId="0" fontId="1" fillId="23" borderId="0" xfId="3" applyFill="1"/>
    <xf numFmtId="0" fontId="1" fillId="23" borderId="0" xfId="0" applyFont="1" applyFill="1"/>
    <xf numFmtId="166" fontId="3" fillId="23" borderId="0" xfId="0" applyNumberFormat="1" applyFont="1" applyFill="1"/>
    <xf numFmtId="0" fontId="0" fillId="23" borderId="0" xfId="0" applyFill="1"/>
    <xf numFmtId="0" fontId="14" fillId="23" borderId="0" xfId="0" applyFont="1" applyFill="1"/>
    <xf numFmtId="168" fontId="0" fillId="23" borderId="0" xfId="1" applyNumberFormat="1" applyFont="1" applyFill="1"/>
    <xf numFmtId="168" fontId="14" fillId="0" borderId="19" xfId="1" applyNumberFormat="1" applyFont="1" applyBorder="1"/>
    <xf numFmtId="168" fontId="14" fillId="0" borderId="18" xfId="1" applyNumberFormat="1" applyFont="1" applyBorder="1"/>
    <xf numFmtId="168" fontId="14" fillId="3" borderId="19" xfId="1" applyNumberFormat="1" applyFont="1" applyFill="1" applyBorder="1"/>
    <xf numFmtId="168" fontId="14" fillId="3" borderId="18" xfId="1" applyNumberFormat="1" applyFont="1" applyFill="1" applyBorder="1"/>
    <xf numFmtId="167" fontId="0" fillId="3" borderId="1" xfId="1" applyNumberFormat="1" applyFont="1" applyFill="1" applyBorder="1"/>
    <xf numFmtId="168" fontId="0" fillId="3" borderId="0" xfId="1" applyNumberFormat="1" applyFont="1" applyFill="1"/>
    <xf numFmtId="0" fontId="3" fillId="0" borderId="3" xfId="0" applyFont="1" applyBorder="1" applyAlignment="1">
      <alignment horizontal="center"/>
    </xf>
    <xf numFmtId="0" fontId="38" fillId="0" borderId="0" xfId="0" applyFont="1" applyAlignment="1">
      <alignment horizontal="left"/>
    </xf>
  </cellXfs>
  <cellStyles count="6">
    <cellStyle name="Comma" xfId="1" builtinId="3"/>
    <cellStyle name="Normal" xfId="0" builtinId="0"/>
    <cellStyle name="Normal 2" xfId="3" xr:uid="{F2E4DE81-F07F-A248-8C37-67A4CDEC7BA7}"/>
    <cellStyle name="Normal 4" xfId="4" xr:uid="{E6D3E711-87BC-E042-8016-303813AC4E5D}"/>
    <cellStyle name="Normal 5" xfId="5" xr:uid="{605A90D1-252C-A440-B820-8BE87389A9B5}"/>
    <cellStyle name="Percent" xfId="2" builtinId="5"/>
  </cellStyles>
  <dxfs count="0"/>
  <tableStyles count="0" defaultTableStyle="TableStyleMedium2" defaultPivotStyle="PivotStyleLight16"/>
  <colors>
    <mruColors>
      <color rgb="FF9110FF"/>
      <color rgb="FF0432FF"/>
      <color rgb="FFBA6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355600</xdr:colOff>
      <xdr:row>23</xdr:row>
      <xdr:rowOff>139700</xdr:rowOff>
    </xdr:from>
    <xdr:to>
      <xdr:col>12</xdr:col>
      <xdr:colOff>605367</xdr:colOff>
      <xdr:row>33</xdr:row>
      <xdr:rowOff>187737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BC33D-EFCF-1940-94D7-AFA576603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638800"/>
          <a:ext cx="4377267" cy="208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bhinav/Downloads/DATAKATALYST/Project%20F/Lazy%20Toddler/FM%20Lazy%20Toddler.xlsx" TargetMode="External"/><Relationship Id="rId1" Type="http://schemas.openxmlformats.org/officeDocument/2006/relationships/externalLinkPath" Target="/Users/abhinav/Downloads/DATAKATALYST/Project%20F/Lazy%20Toddler/FM%20Lazy%20Todd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bhinav Rai" id="{4CCB7BAE-4963-5445-BC83-036E4A0BF625}" userId="28d53358341d7dc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5-03-11T17:41:41.05" personId="{4CCB7BAE-4963-5445-BC83-036E4A0BF625}" id="{3E739D8F-F515-EE49-9B55-A0DBB4CFCA61}">
    <text>Leads to Sales</text>
  </threadedComment>
  <threadedComment ref="F24" dT="2025-03-16T20:18:39.03" personId="{4CCB7BAE-4963-5445-BC83-036E4A0BF625}" id="{8A349C1F-31FA-F44D-99D4-D1386A55B91D}">
    <text>Number of account (Clients), one customer support can manage.</text>
  </threadedComment>
  <threadedComment ref="F38" dT="2025-03-16T21:08:20.57" personId="{4CCB7BAE-4963-5445-BC83-036E4A0BF625}" id="{816A589D-AE6B-DB47-9A48-E16FA97C3C8F}">
    <text>Number of leads one sales person can manage in one month</text>
  </threadedComment>
  <threadedComment ref="F39" dT="2025-03-16T21:20:03.99" personId="{4CCB7BAE-4963-5445-BC83-036E4A0BF625}" id="{AEFBE5B3-E1B5-814F-9591-848E425BD5D5}">
    <text>One sales manager for 10 sales agents.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" dT="2025-03-11T20:19:09.29" personId="{4CCB7BAE-4963-5445-BC83-036E4A0BF625}" id="{15DA35F3-E1F2-784C-AB0E-A6499F43F9C0}">
    <text>Used Term “Renewal” only</text>
  </threadedComment>
  <threadedComment ref="A31" dT="2025-03-11T20:19:09.29" personId="{4CCB7BAE-4963-5445-BC83-036E4A0BF625}" id="{5490BC4C-518C-BB4E-B748-87EA9E3E12EE}">
    <text>Used Term “Renewal” only</text>
  </threadedComment>
  <threadedComment ref="A47" dT="2025-03-11T20:19:09.29" personId="{4CCB7BAE-4963-5445-BC83-036E4A0BF625}" id="{E1D93D95-14CC-CF47-A67A-4F32539DAD09}">
    <text>Used Term “Renewal” only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9DB7-433C-BC4A-867C-D9472149BA50}">
  <dimension ref="A1:BZ66"/>
  <sheetViews>
    <sheetView showGridLines="0" tabSelected="1" zoomScale="62" zoomScaleNormal="53" workbookViewId="0">
      <pane xSplit="12" ySplit="4" topLeftCell="BP5" activePane="bottomRight" state="frozen"/>
      <selection pane="topRight" activeCell="M1" sqref="M1"/>
      <selection pane="bottomLeft" activeCell="A5" sqref="A5"/>
      <selection pane="bottomRight" activeCell="BT30" sqref="BT30"/>
    </sheetView>
  </sheetViews>
  <sheetFormatPr defaultColWidth="11.19921875" defaultRowHeight="15.6" x14ac:dyDescent="0.3"/>
  <cols>
    <col min="1" max="5" width="8.69921875" customWidth="1"/>
    <col min="7" max="8" width="12" bestFit="1" customWidth="1"/>
    <col min="9" max="9" width="3.69921875" customWidth="1"/>
    <col min="10" max="10" width="0.296875" hidden="1" customWidth="1"/>
    <col min="11" max="11" width="5.796875" customWidth="1"/>
    <col min="12" max="12" width="14.69921875" customWidth="1"/>
    <col min="13" max="13" width="13.19921875" bestFit="1" customWidth="1"/>
    <col min="14" max="24" width="12" bestFit="1" customWidth="1"/>
    <col min="25" max="72" width="14.296875" bestFit="1" customWidth="1"/>
    <col min="73" max="73" width="4.796875" customWidth="1"/>
    <col min="74" max="78" width="15.69921875" bestFit="1" customWidth="1"/>
  </cols>
  <sheetData>
    <row r="1" spans="1:78" ht="21" x14ac:dyDescent="0.4">
      <c r="A1" s="1" t="s">
        <v>31</v>
      </c>
      <c r="B1" s="1"/>
      <c r="C1" s="2"/>
      <c r="D1" s="3"/>
      <c r="E1" s="3"/>
      <c r="F1" s="3"/>
      <c r="G1" s="3"/>
      <c r="H1" s="3"/>
      <c r="I1" s="3"/>
      <c r="J1" s="4"/>
      <c r="K1" s="3"/>
      <c r="L1" s="3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16.2" thickBot="1" x14ac:dyDescent="0.35">
      <c r="A2" s="7" t="s">
        <v>0</v>
      </c>
      <c r="B2" s="7"/>
      <c r="C2" s="2"/>
      <c r="D2" s="3"/>
      <c r="E2" s="3"/>
      <c r="F2" s="3"/>
      <c r="G2" s="3"/>
      <c r="H2" s="3"/>
      <c r="I2" s="3"/>
      <c r="J2" s="4"/>
      <c r="K2" s="3"/>
      <c r="L2" s="3"/>
      <c r="M2" s="270" t="s">
        <v>1</v>
      </c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3"/>
      <c r="BV2" s="270" t="s">
        <v>2</v>
      </c>
      <c r="BW2" s="270"/>
      <c r="BX2" s="270"/>
      <c r="BY2" s="270"/>
      <c r="BZ2" s="270"/>
    </row>
    <row r="3" spans="1:78" x14ac:dyDescent="0.3">
      <c r="A3" s="8" t="s">
        <v>3</v>
      </c>
      <c r="B3" s="9"/>
      <c r="C3" s="9"/>
      <c r="D3" s="10"/>
      <c r="E3" s="10"/>
      <c r="F3" s="10"/>
      <c r="G3" s="10"/>
      <c r="H3" s="10"/>
      <c r="I3" s="10"/>
      <c r="J3" s="3"/>
      <c r="K3" s="3"/>
      <c r="L3" s="3"/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f>X3+1</f>
        <v>2</v>
      </c>
      <c r="Z3" s="19">
        <f>Y3</f>
        <v>2</v>
      </c>
      <c r="AA3" s="19">
        <f t="shared" ref="AA3:AJ3" si="0">Z3</f>
        <v>2</v>
      </c>
      <c r="AB3" s="19">
        <f t="shared" si="0"/>
        <v>2</v>
      </c>
      <c r="AC3" s="19">
        <f t="shared" si="0"/>
        <v>2</v>
      </c>
      <c r="AD3" s="19">
        <f t="shared" si="0"/>
        <v>2</v>
      </c>
      <c r="AE3" s="19">
        <f t="shared" si="0"/>
        <v>2</v>
      </c>
      <c r="AF3" s="19">
        <f t="shared" si="0"/>
        <v>2</v>
      </c>
      <c r="AG3" s="19">
        <f t="shared" si="0"/>
        <v>2</v>
      </c>
      <c r="AH3" s="19">
        <f t="shared" si="0"/>
        <v>2</v>
      </c>
      <c r="AI3" s="19">
        <f t="shared" si="0"/>
        <v>2</v>
      </c>
      <c r="AJ3" s="19">
        <f t="shared" si="0"/>
        <v>2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4</v>
      </c>
      <c r="AX3" s="19">
        <v>4</v>
      </c>
      <c r="AY3" s="19">
        <v>4</v>
      </c>
      <c r="AZ3" s="19">
        <v>4</v>
      </c>
      <c r="BA3" s="19">
        <v>4</v>
      </c>
      <c r="BB3" s="19">
        <v>4</v>
      </c>
      <c r="BC3" s="19">
        <v>4</v>
      </c>
      <c r="BD3" s="19">
        <v>4</v>
      </c>
      <c r="BE3" s="19">
        <v>4</v>
      </c>
      <c r="BF3" s="19">
        <v>4</v>
      </c>
      <c r="BG3" s="19">
        <v>4</v>
      </c>
      <c r="BH3" s="19">
        <v>4</v>
      </c>
      <c r="BI3" s="19">
        <v>5</v>
      </c>
      <c r="BJ3" s="19">
        <v>5</v>
      </c>
      <c r="BK3" s="19">
        <v>5</v>
      </c>
      <c r="BL3" s="19">
        <v>5</v>
      </c>
      <c r="BM3" s="19">
        <v>5</v>
      </c>
      <c r="BN3" s="19">
        <v>5</v>
      </c>
      <c r="BO3" s="19">
        <v>5</v>
      </c>
      <c r="BP3" s="19">
        <v>5</v>
      </c>
      <c r="BQ3" s="19">
        <v>5</v>
      </c>
      <c r="BR3" s="19">
        <v>5</v>
      </c>
      <c r="BS3" s="19">
        <v>5</v>
      </c>
      <c r="BT3" s="19">
        <v>5</v>
      </c>
      <c r="BU3" s="11"/>
      <c r="BV3" s="21">
        <v>1</v>
      </c>
      <c r="BW3" s="21">
        <v>2</v>
      </c>
      <c r="BX3" s="21">
        <v>3</v>
      </c>
      <c r="BY3" s="21">
        <v>4</v>
      </c>
      <c r="BZ3" s="21">
        <v>5</v>
      </c>
    </row>
    <row r="4" spans="1:78" x14ac:dyDescent="0.3">
      <c r="A4" s="12" t="s">
        <v>4</v>
      </c>
      <c r="B4" s="13"/>
      <c r="C4" s="9"/>
      <c r="D4" s="10"/>
      <c r="E4" s="3"/>
      <c r="F4" s="3"/>
      <c r="G4" s="3"/>
      <c r="H4" s="3"/>
      <c r="I4" s="3"/>
      <c r="J4" s="3"/>
      <c r="K4" s="3"/>
      <c r="L4" s="3"/>
      <c r="M4" s="20">
        <v>1</v>
      </c>
      <c r="N4" s="20">
        <f>M4+1</f>
        <v>2</v>
      </c>
      <c r="O4" s="20">
        <f t="shared" ref="O4:BT4" si="1">N4+1</f>
        <v>3</v>
      </c>
      <c r="P4" s="20">
        <f t="shared" si="1"/>
        <v>4</v>
      </c>
      <c r="Q4" s="20">
        <f t="shared" si="1"/>
        <v>5</v>
      </c>
      <c r="R4" s="20">
        <f t="shared" si="1"/>
        <v>6</v>
      </c>
      <c r="S4" s="20">
        <f t="shared" si="1"/>
        <v>7</v>
      </c>
      <c r="T4" s="20">
        <f t="shared" si="1"/>
        <v>8</v>
      </c>
      <c r="U4" s="20">
        <f t="shared" si="1"/>
        <v>9</v>
      </c>
      <c r="V4" s="20">
        <f t="shared" si="1"/>
        <v>10</v>
      </c>
      <c r="W4" s="20">
        <f t="shared" si="1"/>
        <v>11</v>
      </c>
      <c r="X4" s="20">
        <f t="shared" si="1"/>
        <v>12</v>
      </c>
      <c r="Y4" s="20">
        <f t="shared" si="1"/>
        <v>13</v>
      </c>
      <c r="Z4" s="20">
        <f t="shared" si="1"/>
        <v>14</v>
      </c>
      <c r="AA4" s="20">
        <f t="shared" si="1"/>
        <v>15</v>
      </c>
      <c r="AB4" s="20">
        <f t="shared" si="1"/>
        <v>16</v>
      </c>
      <c r="AC4" s="20">
        <f t="shared" si="1"/>
        <v>17</v>
      </c>
      <c r="AD4" s="20">
        <f t="shared" si="1"/>
        <v>18</v>
      </c>
      <c r="AE4" s="20">
        <f t="shared" si="1"/>
        <v>19</v>
      </c>
      <c r="AF4" s="20">
        <f t="shared" si="1"/>
        <v>20</v>
      </c>
      <c r="AG4" s="20">
        <f t="shared" si="1"/>
        <v>21</v>
      </c>
      <c r="AH4" s="20">
        <f t="shared" si="1"/>
        <v>22</v>
      </c>
      <c r="AI4" s="20">
        <f t="shared" si="1"/>
        <v>23</v>
      </c>
      <c r="AJ4" s="20">
        <f t="shared" si="1"/>
        <v>24</v>
      </c>
      <c r="AK4" s="20">
        <f t="shared" si="1"/>
        <v>25</v>
      </c>
      <c r="AL4" s="20">
        <f t="shared" si="1"/>
        <v>26</v>
      </c>
      <c r="AM4" s="20">
        <f t="shared" si="1"/>
        <v>27</v>
      </c>
      <c r="AN4" s="20">
        <f t="shared" si="1"/>
        <v>28</v>
      </c>
      <c r="AO4" s="20">
        <f t="shared" si="1"/>
        <v>29</v>
      </c>
      <c r="AP4" s="20">
        <f t="shared" si="1"/>
        <v>30</v>
      </c>
      <c r="AQ4" s="20">
        <f t="shared" si="1"/>
        <v>31</v>
      </c>
      <c r="AR4" s="20">
        <f t="shared" si="1"/>
        <v>32</v>
      </c>
      <c r="AS4" s="20">
        <f t="shared" si="1"/>
        <v>33</v>
      </c>
      <c r="AT4" s="20">
        <f t="shared" si="1"/>
        <v>34</v>
      </c>
      <c r="AU4" s="20">
        <f t="shared" si="1"/>
        <v>35</v>
      </c>
      <c r="AV4" s="20">
        <f t="shared" si="1"/>
        <v>36</v>
      </c>
      <c r="AW4" s="20">
        <f t="shared" si="1"/>
        <v>37</v>
      </c>
      <c r="AX4" s="20">
        <f t="shared" si="1"/>
        <v>38</v>
      </c>
      <c r="AY4" s="20">
        <f t="shared" si="1"/>
        <v>39</v>
      </c>
      <c r="AZ4" s="20">
        <f t="shared" si="1"/>
        <v>40</v>
      </c>
      <c r="BA4" s="20">
        <f t="shared" si="1"/>
        <v>41</v>
      </c>
      <c r="BB4" s="20">
        <f t="shared" si="1"/>
        <v>42</v>
      </c>
      <c r="BC4" s="20">
        <f t="shared" si="1"/>
        <v>43</v>
      </c>
      <c r="BD4" s="20">
        <f t="shared" si="1"/>
        <v>44</v>
      </c>
      <c r="BE4" s="20">
        <f t="shared" si="1"/>
        <v>45</v>
      </c>
      <c r="BF4" s="20">
        <f t="shared" si="1"/>
        <v>46</v>
      </c>
      <c r="BG4" s="20">
        <f t="shared" si="1"/>
        <v>47</v>
      </c>
      <c r="BH4" s="20">
        <f t="shared" si="1"/>
        <v>48</v>
      </c>
      <c r="BI4" s="20">
        <f t="shared" si="1"/>
        <v>49</v>
      </c>
      <c r="BJ4" s="20">
        <f t="shared" si="1"/>
        <v>50</v>
      </c>
      <c r="BK4" s="20">
        <f t="shared" si="1"/>
        <v>51</v>
      </c>
      <c r="BL4" s="20">
        <f t="shared" si="1"/>
        <v>52</v>
      </c>
      <c r="BM4" s="20">
        <f t="shared" si="1"/>
        <v>53</v>
      </c>
      <c r="BN4" s="20">
        <f t="shared" si="1"/>
        <v>54</v>
      </c>
      <c r="BO4" s="20">
        <f t="shared" si="1"/>
        <v>55</v>
      </c>
      <c r="BP4" s="20">
        <f t="shared" si="1"/>
        <v>56</v>
      </c>
      <c r="BQ4" s="20">
        <f t="shared" si="1"/>
        <v>57</v>
      </c>
      <c r="BR4" s="20">
        <f t="shared" si="1"/>
        <v>58</v>
      </c>
      <c r="BS4" s="20">
        <f t="shared" si="1"/>
        <v>59</v>
      </c>
      <c r="BT4" s="20">
        <f t="shared" si="1"/>
        <v>60</v>
      </c>
      <c r="BU4" s="17"/>
      <c r="BV4" s="20">
        <v>12</v>
      </c>
      <c r="BW4" s="20">
        <v>24</v>
      </c>
      <c r="BX4" s="20">
        <v>36</v>
      </c>
      <c r="BY4" s="20">
        <v>48</v>
      </c>
      <c r="BZ4" s="20">
        <v>60</v>
      </c>
    </row>
    <row r="5" spans="1:78" x14ac:dyDescent="0.3">
      <c r="A5" s="14" t="s">
        <v>5</v>
      </c>
      <c r="B5" s="15"/>
      <c r="C5" s="16"/>
      <c r="D5" s="15"/>
      <c r="E5" s="17"/>
      <c r="F5" s="17"/>
      <c r="G5" s="17"/>
      <c r="H5" s="17"/>
      <c r="I5" s="17"/>
      <c r="J5" s="17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7"/>
      <c r="BV5" s="18"/>
      <c r="BW5" s="18"/>
      <c r="BX5" s="18"/>
      <c r="BY5" s="18"/>
      <c r="BZ5" s="18"/>
    </row>
    <row r="6" spans="1:78" x14ac:dyDescent="0.3">
      <c r="A6" t="s">
        <v>8</v>
      </c>
      <c r="G6" s="28">
        <v>0.05</v>
      </c>
      <c r="H6" s="28">
        <f>G6</f>
        <v>0.05</v>
      </c>
      <c r="M6" s="68">
        <f>G6</f>
        <v>0.05</v>
      </c>
      <c r="N6" s="68">
        <f t="shared" ref="N6:AS6" si="2">M6+($H6-$G6)/COUNT($N$4:$BT$4)</f>
        <v>0.05</v>
      </c>
      <c r="O6" s="68">
        <f t="shared" si="2"/>
        <v>0.05</v>
      </c>
      <c r="P6" s="68">
        <f t="shared" si="2"/>
        <v>0.05</v>
      </c>
      <c r="Q6" s="68">
        <f t="shared" si="2"/>
        <v>0.05</v>
      </c>
      <c r="R6" s="68">
        <f t="shared" si="2"/>
        <v>0.05</v>
      </c>
      <c r="S6" s="68">
        <f t="shared" si="2"/>
        <v>0.05</v>
      </c>
      <c r="T6" s="68">
        <f t="shared" si="2"/>
        <v>0.05</v>
      </c>
      <c r="U6" s="68">
        <f t="shared" si="2"/>
        <v>0.05</v>
      </c>
      <c r="V6" s="68">
        <f t="shared" si="2"/>
        <v>0.05</v>
      </c>
      <c r="W6" s="68">
        <f t="shared" si="2"/>
        <v>0.05</v>
      </c>
      <c r="X6" s="68">
        <f t="shared" si="2"/>
        <v>0.05</v>
      </c>
      <c r="Y6" s="68">
        <f t="shared" si="2"/>
        <v>0.05</v>
      </c>
      <c r="Z6" s="68">
        <f t="shared" si="2"/>
        <v>0.05</v>
      </c>
      <c r="AA6" s="68">
        <f t="shared" si="2"/>
        <v>0.05</v>
      </c>
      <c r="AB6" s="68">
        <f t="shared" si="2"/>
        <v>0.05</v>
      </c>
      <c r="AC6" s="68">
        <f t="shared" si="2"/>
        <v>0.05</v>
      </c>
      <c r="AD6" s="68">
        <f t="shared" si="2"/>
        <v>0.05</v>
      </c>
      <c r="AE6" s="68">
        <f t="shared" si="2"/>
        <v>0.05</v>
      </c>
      <c r="AF6" s="68">
        <f t="shared" si="2"/>
        <v>0.05</v>
      </c>
      <c r="AG6" s="68">
        <f t="shared" si="2"/>
        <v>0.05</v>
      </c>
      <c r="AH6" s="68">
        <f t="shared" si="2"/>
        <v>0.05</v>
      </c>
      <c r="AI6" s="68">
        <f t="shared" si="2"/>
        <v>0.05</v>
      </c>
      <c r="AJ6" s="68">
        <f t="shared" si="2"/>
        <v>0.05</v>
      </c>
      <c r="AK6" s="68">
        <f t="shared" si="2"/>
        <v>0.05</v>
      </c>
      <c r="AL6" s="68">
        <f t="shared" si="2"/>
        <v>0.05</v>
      </c>
      <c r="AM6" s="68">
        <f t="shared" si="2"/>
        <v>0.05</v>
      </c>
      <c r="AN6" s="68">
        <f t="shared" si="2"/>
        <v>0.05</v>
      </c>
      <c r="AO6" s="68">
        <f t="shared" si="2"/>
        <v>0.05</v>
      </c>
      <c r="AP6" s="68">
        <f t="shared" si="2"/>
        <v>0.05</v>
      </c>
      <c r="AQ6" s="68">
        <f t="shared" si="2"/>
        <v>0.05</v>
      </c>
      <c r="AR6" s="68">
        <f t="shared" si="2"/>
        <v>0.05</v>
      </c>
      <c r="AS6" s="68">
        <f t="shared" si="2"/>
        <v>0.05</v>
      </c>
      <c r="AT6" s="68">
        <f t="shared" ref="AT6:BT6" si="3">AS6+($H6-$G6)/COUNT($N$4:$BT$4)</f>
        <v>0.05</v>
      </c>
      <c r="AU6" s="68">
        <f t="shared" si="3"/>
        <v>0.05</v>
      </c>
      <c r="AV6" s="68">
        <f t="shared" si="3"/>
        <v>0.05</v>
      </c>
      <c r="AW6" s="68">
        <f t="shared" si="3"/>
        <v>0.05</v>
      </c>
      <c r="AX6" s="68">
        <f t="shared" si="3"/>
        <v>0.05</v>
      </c>
      <c r="AY6" s="68">
        <f t="shared" si="3"/>
        <v>0.05</v>
      </c>
      <c r="AZ6" s="68">
        <f t="shared" si="3"/>
        <v>0.05</v>
      </c>
      <c r="BA6" s="68">
        <f t="shared" si="3"/>
        <v>0.05</v>
      </c>
      <c r="BB6" s="68">
        <f t="shared" si="3"/>
        <v>0.05</v>
      </c>
      <c r="BC6" s="68">
        <f t="shared" si="3"/>
        <v>0.05</v>
      </c>
      <c r="BD6" s="68">
        <f t="shared" si="3"/>
        <v>0.05</v>
      </c>
      <c r="BE6" s="68">
        <f t="shared" si="3"/>
        <v>0.05</v>
      </c>
      <c r="BF6" s="68">
        <f t="shared" si="3"/>
        <v>0.05</v>
      </c>
      <c r="BG6" s="68">
        <f t="shared" si="3"/>
        <v>0.05</v>
      </c>
      <c r="BH6" s="68">
        <f t="shared" si="3"/>
        <v>0.05</v>
      </c>
      <c r="BI6" s="68">
        <f t="shared" si="3"/>
        <v>0.05</v>
      </c>
      <c r="BJ6" s="68">
        <f t="shared" si="3"/>
        <v>0.05</v>
      </c>
      <c r="BK6" s="68">
        <f t="shared" si="3"/>
        <v>0.05</v>
      </c>
      <c r="BL6" s="68">
        <f t="shared" si="3"/>
        <v>0.05</v>
      </c>
      <c r="BM6" s="68">
        <f t="shared" si="3"/>
        <v>0.05</v>
      </c>
      <c r="BN6" s="68">
        <f t="shared" si="3"/>
        <v>0.05</v>
      </c>
      <c r="BO6" s="68">
        <f t="shared" si="3"/>
        <v>0.05</v>
      </c>
      <c r="BP6" s="68">
        <f t="shared" si="3"/>
        <v>0.05</v>
      </c>
      <c r="BQ6" s="68">
        <f t="shared" si="3"/>
        <v>0.05</v>
      </c>
      <c r="BR6" s="68">
        <f t="shared" si="3"/>
        <v>0.05</v>
      </c>
      <c r="BS6" s="68">
        <f t="shared" si="3"/>
        <v>0.05</v>
      </c>
      <c r="BT6" s="68">
        <f t="shared" si="3"/>
        <v>0.05</v>
      </c>
      <c r="BU6" s="17"/>
    </row>
    <row r="7" spans="1:78" x14ac:dyDescent="0.3">
      <c r="A7" t="s">
        <v>290</v>
      </c>
      <c r="F7" s="25" t="s">
        <v>10</v>
      </c>
      <c r="G7" s="42">
        <f>10000*12</f>
        <v>120000</v>
      </c>
      <c r="H7" s="42">
        <f>G7</f>
        <v>120000</v>
      </c>
      <c r="M7" s="117">
        <f>G7</f>
        <v>120000</v>
      </c>
      <c r="N7" s="117">
        <f t="shared" ref="N7:AS7" si="4">M7+($H7-$G7)/COUNT($N$4:$BT$4)</f>
        <v>120000</v>
      </c>
      <c r="O7" s="117">
        <f t="shared" si="4"/>
        <v>120000</v>
      </c>
      <c r="P7" s="117">
        <f t="shared" si="4"/>
        <v>120000</v>
      </c>
      <c r="Q7" s="117">
        <f t="shared" si="4"/>
        <v>120000</v>
      </c>
      <c r="R7" s="117">
        <f t="shared" si="4"/>
        <v>120000</v>
      </c>
      <c r="S7" s="117">
        <f t="shared" si="4"/>
        <v>120000</v>
      </c>
      <c r="T7" s="117">
        <f t="shared" si="4"/>
        <v>120000</v>
      </c>
      <c r="U7" s="117">
        <f t="shared" si="4"/>
        <v>120000</v>
      </c>
      <c r="V7" s="117">
        <f t="shared" si="4"/>
        <v>120000</v>
      </c>
      <c r="W7" s="117">
        <f t="shared" si="4"/>
        <v>120000</v>
      </c>
      <c r="X7" s="117">
        <f t="shared" si="4"/>
        <v>120000</v>
      </c>
      <c r="Y7" s="117">
        <f t="shared" si="4"/>
        <v>120000</v>
      </c>
      <c r="Z7" s="117">
        <f t="shared" si="4"/>
        <v>120000</v>
      </c>
      <c r="AA7" s="117">
        <f t="shared" si="4"/>
        <v>120000</v>
      </c>
      <c r="AB7" s="117">
        <f t="shared" si="4"/>
        <v>120000</v>
      </c>
      <c r="AC7" s="117">
        <f t="shared" si="4"/>
        <v>120000</v>
      </c>
      <c r="AD7" s="117">
        <f t="shared" si="4"/>
        <v>120000</v>
      </c>
      <c r="AE7" s="117">
        <f t="shared" si="4"/>
        <v>120000</v>
      </c>
      <c r="AF7" s="117">
        <f t="shared" si="4"/>
        <v>120000</v>
      </c>
      <c r="AG7" s="117">
        <f t="shared" si="4"/>
        <v>120000</v>
      </c>
      <c r="AH7" s="117">
        <f t="shared" si="4"/>
        <v>120000</v>
      </c>
      <c r="AI7" s="117">
        <f t="shared" si="4"/>
        <v>120000</v>
      </c>
      <c r="AJ7" s="117">
        <f t="shared" si="4"/>
        <v>120000</v>
      </c>
      <c r="AK7" s="117">
        <f t="shared" si="4"/>
        <v>120000</v>
      </c>
      <c r="AL7" s="117">
        <f t="shared" si="4"/>
        <v>120000</v>
      </c>
      <c r="AM7" s="117">
        <f t="shared" si="4"/>
        <v>120000</v>
      </c>
      <c r="AN7" s="117">
        <f t="shared" si="4"/>
        <v>120000</v>
      </c>
      <c r="AO7" s="117">
        <f t="shared" si="4"/>
        <v>120000</v>
      </c>
      <c r="AP7" s="117">
        <f t="shared" si="4"/>
        <v>120000</v>
      </c>
      <c r="AQ7" s="117">
        <f t="shared" si="4"/>
        <v>120000</v>
      </c>
      <c r="AR7" s="117">
        <f t="shared" si="4"/>
        <v>120000</v>
      </c>
      <c r="AS7" s="117">
        <f t="shared" si="4"/>
        <v>120000</v>
      </c>
      <c r="AT7" s="117">
        <f t="shared" ref="AT7:BT7" si="5">AS7+($H7-$G7)/COUNT($N$4:$BT$4)</f>
        <v>120000</v>
      </c>
      <c r="AU7" s="117">
        <f t="shared" si="5"/>
        <v>120000</v>
      </c>
      <c r="AV7" s="117">
        <f t="shared" si="5"/>
        <v>120000</v>
      </c>
      <c r="AW7" s="117">
        <f t="shared" si="5"/>
        <v>120000</v>
      </c>
      <c r="AX7" s="117">
        <f t="shared" si="5"/>
        <v>120000</v>
      </c>
      <c r="AY7" s="117">
        <f t="shared" si="5"/>
        <v>120000</v>
      </c>
      <c r="AZ7" s="117">
        <f t="shared" si="5"/>
        <v>120000</v>
      </c>
      <c r="BA7" s="117">
        <f t="shared" si="5"/>
        <v>120000</v>
      </c>
      <c r="BB7" s="117">
        <f t="shared" si="5"/>
        <v>120000</v>
      </c>
      <c r="BC7" s="117">
        <f t="shared" si="5"/>
        <v>120000</v>
      </c>
      <c r="BD7" s="117">
        <f t="shared" si="5"/>
        <v>120000</v>
      </c>
      <c r="BE7" s="117">
        <f t="shared" si="5"/>
        <v>120000</v>
      </c>
      <c r="BF7" s="117">
        <f t="shared" si="5"/>
        <v>120000</v>
      </c>
      <c r="BG7" s="117">
        <f t="shared" si="5"/>
        <v>120000</v>
      </c>
      <c r="BH7" s="117">
        <f t="shared" si="5"/>
        <v>120000</v>
      </c>
      <c r="BI7" s="117">
        <f t="shared" si="5"/>
        <v>120000</v>
      </c>
      <c r="BJ7" s="117">
        <f t="shared" si="5"/>
        <v>120000</v>
      </c>
      <c r="BK7" s="117">
        <f t="shared" si="5"/>
        <v>120000</v>
      </c>
      <c r="BL7" s="117">
        <f t="shared" si="5"/>
        <v>120000</v>
      </c>
      <c r="BM7" s="117">
        <f t="shared" si="5"/>
        <v>120000</v>
      </c>
      <c r="BN7" s="117">
        <f t="shared" si="5"/>
        <v>120000</v>
      </c>
      <c r="BO7" s="117">
        <f t="shared" si="5"/>
        <v>120000</v>
      </c>
      <c r="BP7" s="117">
        <f t="shared" si="5"/>
        <v>120000</v>
      </c>
      <c r="BQ7" s="117">
        <f t="shared" si="5"/>
        <v>120000</v>
      </c>
      <c r="BR7" s="117">
        <f t="shared" si="5"/>
        <v>120000</v>
      </c>
      <c r="BS7" s="117">
        <f t="shared" si="5"/>
        <v>120000</v>
      </c>
      <c r="BT7" s="117">
        <f t="shared" si="5"/>
        <v>120000</v>
      </c>
      <c r="BU7" s="17"/>
    </row>
    <row r="8" spans="1:78" x14ac:dyDescent="0.3">
      <c r="A8" t="s">
        <v>291</v>
      </c>
      <c r="F8" s="25" t="s">
        <v>10</v>
      </c>
      <c r="G8" s="42">
        <f>5000*12</f>
        <v>60000</v>
      </c>
      <c r="H8" s="42">
        <f>G8</f>
        <v>60000</v>
      </c>
      <c r="M8" s="117">
        <f>G8</f>
        <v>60000</v>
      </c>
      <c r="N8" s="117">
        <f t="shared" ref="N8" si="6">M8+($H8-$G8)/COUNT($N$4:$BT$4)</f>
        <v>60000</v>
      </c>
      <c r="O8" s="117">
        <f t="shared" ref="O8" si="7">N8+($H8-$G8)/COUNT($N$4:$BT$4)</f>
        <v>60000</v>
      </c>
      <c r="P8" s="117">
        <f t="shared" ref="P8" si="8">O8+($H8-$G8)/COUNT($N$4:$BT$4)</f>
        <v>60000</v>
      </c>
      <c r="Q8" s="117">
        <f t="shared" ref="Q8" si="9">P8+($H8-$G8)/COUNT($N$4:$BT$4)</f>
        <v>60000</v>
      </c>
      <c r="R8" s="117">
        <f t="shared" ref="R8" si="10">Q8+($H8-$G8)/COUNT($N$4:$BT$4)</f>
        <v>60000</v>
      </c>
      <c r="S8" s="117">
        <f t="shared" ref="S8" si="11">R8+($H8-$G8)/COUNT($N$4:$BT$4)</f>
        <v>60000</v>
      </c>
      <c r="T8" s="117">
        <f t="shared" ref="T8" si="12">S8+($H8-$G8)/COUNT($N$4:$BT$4)</f>
        <v>60000</v>
      </c>
      <c r="U8" s="117">
        <f t="shared" ref="U8" si="13">T8+($H8-$G8)/COUNT($N$4:$BT$4)</f>
        <v>60000</v>
      </c>
      <c r="V8" s="117">
        <f t="shared" ref="V8" si="14">U8+($H8-$G8)/COUNT($N$4:$BT$4)</f>
        <v>60000</v>
      </c>
      <c r="W8" s="117">
        <f t="shared" ref="W8" si="15">V8+($H8-$G8)/COUNT($N$4:$BT$4)</f>
        <v>60000</v>
      </c>
      <c r="X8" s="117">
        <f t="shared" ref="X8" si="16">W8+($H8-$G8)/COUNT($N$4:$BT$4)</f>
        <v>60000</v>
      </c>
      <c r="Y8" s="117">
        <f t="shared" ref="Y8" si="17">X8+($H8-$G8)/COUNT($N$4:$BT$4)</f>
        <v>60000</v>
      </c>
      <c r="Z8" s="117">
        <f t="shared" ref="Z8" si="18">Y8+($H8-$G8)/COUNT($N$4:$BT$4)</f>
        <v>60000</v>
      </c>
      <c r="AA8" s="117">
        <f t="shared" ref="AA8" si="19">Z8+($H8-$G8)/COUNT($N$4:$BT$4)</f>
        <v>60000</v>
      </c>
      <c r="AB8" s="117">
        <f t="shared" ref="AB8" si="20">AA8+($H8-$G8)/COUNT($N$4:$BT$4)</f>
        <v>60000</v>
      </c>
      <c r="AC8" s="117">
        <f t="shared" ref="AC8" si="21">AB8+($H8-$G8)/COUNT($N$4:$BT$4)</f>
        <v>60000</v>
      </c>
      <c r="AD8" s="117">
        <f t="shared" ref="AD8" si="22">AC8+($H8-$G8)/COUNT($N$4:$BT$4)</f>
        <v>60000</v>
      </c>
      <c r="AE8" s="117">
        <f t="shared" ref="AE8" si="23">AD8+($H8-$G8)/COUNT($N$4:$BT$4)</f>
        <v>60000</v>
      </c>
      <c r="AF8" s="117">
        <f t="shared" ref="AF8" si="24">AE8+($H8-$G8)/COUNT($N$4:$BT$4)</f>
        <v>60000</v>
      </c>
      <c r="AG8" s="117">
        <f t="shared" ref="AG8" si="25">AF8+($H8-$G8)/COUNT($N$4:$BT$4)</f>
        <v>60000</v>
      </c>
      <c r="AH8" s="117">
        <f t="shared" ref="AH8" si="26">AG8+($H8-$G8)/COUNT($N$4:$BT$4)</f>
        <v>60000</v>
      </c>
      <c r="AI8" s="117">
        <f t="shared" ref="AI8" si="27">AH8+($H8-$G8)/COUNT($N$4:$BT$4)</f>
        <v>60000</v>
      </c>
      <c r="AJ8" s="117">
        <f t="shared" ref="AJ8" si="28">AI8+($H8-$G8)/COUNT($N$4:$BT$4)</f>
        <v>60000</v>
      </c>
      <c r="AK8" s="117">
        <f t="shared" ref="AK8" si="29">AJ8+($H8-$G8)/COUNT($N$4:$BT$4)</f>
        <v>60000</v>
      </c>
      <c r="AL8" s="117">
        <f t="shared" ref="AL8" si="30">AK8+($H8-$G8)/COUNT($N$4:$BT$4)</f>
        <v>60000</v>
      </c>
      <c r="AM8" s="117">
        <f t="shared" ref="AM8" si="31">AL8+($H8-$G8)/COUNT($N$4:$BT$4)</f>
        <v>60000</v>
      </c>
      <c r="AN8" s="117">
        <f t="shared" ref="AN8" si="32">AM8+($H8-$G8)/COUNT($N$4:$BT$4)</f>
        <v>60000</v>
      </c>
      <c r="AO8" s="117">
        <f t="shared" ref="AO8" si="33">AN8+($H8-$G8)/COUNT($N$4:$BT$4)</f>
        <v>60000</v>
      </c>
      <c r="AP8" s="117">
        <f t="shared" ref="AP8" si="34">AO8+($H8-$G8)/COUNT($N$4:$BT$4)</f>
        <v>60000</v>
      </c>
      <c r="AQ8" s="117">
        <f t="shared" ref="AQ8" si="35">AP8+($H8-$G8)/COUNT($N$4:$BT$4)</f>
        <v>60000</v>
      </c>
      <c r="AR8" s="117">
        <f t="shared" ref="AR8" si="36">AQ8+($H8-$G8)/COUNT($N$4:$BT$4)</f>
        <v>60000</v>
      </c>
      <c r="AS8" s="117">
        <f t="shared" ref="AS8" si="37">AR8+($H8-$G8)/COUNT($N$4:$BT$4)</f>
        <v>60000</v>
      </c>
      <c r="AT8" s="117">
        <f t="shared" ref="AT8" si="38">AS8+($H8-$G8)/COUNT($N$4:$BT$4)</f>
        <v>60000</v>
      </c>
      <c r="AU8" s="117">
        <f t="shared" ref="AU8" si="39">AT8+($H8-$G8)/COUNT($N$4:$BT$4)</f>
        <v>60000</v>
      </c>
      <c r="AV8" s="117">
        <f t="shared" ref="AV8" si="40">AU8+($H8-$G8)/COUNT($N$4:$BT$4)</f>
        <v>60000</v>
      </c>
      <c r="AW8" s="117">
        <f t="shared" ref="AW8" si="41">AV8+($H8-$G8)/COUNT($N$4:$BT$4)</f>
        <v>60000</v>
      </c>
      <c r="AX8" s="117">
        <f t="shared" ref="AX8" si="42">AW8+($H8-$G8)/COUNT($N$4:$BT$4)</f>
        <v>60000</v>
      </c>
      <c r="AY8" s="117">
        <f t="shared" ref="AY8" si="43">AX8+($H8-$G8)/COUNT($N$4:$BT$4)</f>
        <v>60000</v>
      </c>
      <c r="AZ8" s="117">
        <f t="shared" ref="AZ8" si="44">AY8+($H8-$G8)/COUNT($N$4:$BT$4)</f>
        <v>60000</v>
      </c>
      <c r="BA8" s="117">
        <f t="shared" ref="BA8" si="45">AZ8+($H8-$G8)/COUNT($N$4:$BT$4)</f>
        <v>60000</v>
      </c>
      <c r="BB8" s="117">
        <f t="shared" ref="BB8" si="46">BA8+($H8-$G8)/COUNT($N$4:$BT$4)</f>
        <v>60000</v>
      </c>
      <c r="BC8" s="117">
        <f t="shared" ref="BC8" si="47">BB8+($H8-$G8)/COUNT($N$4:$BT$4)</f>
        <v>60000</v>
      </c>
      <c r="BD8" s="117">
        <f t="shared" ref="BD8" si="48">BC8+($H8-$G8)/COUNT($N$4:$BT$4)</f>
        <v>60000</v>
      </c>
      <c r="BE8" s="117">
        <f t="shared" ref="BE8" si="49">BD8+($H8-$G8)/COUNT($N$4:$BT$4)</f>
        <v>60000</v>
      </c>
      <c r="BF8" s="117">
        <f t="shared" ref="BF8" si="50">BE8+($H8-$G8)/COUNT($N$4:$BT$4)</f>
        <v>60000</v>
      </c>
      <c r="BG8" s="117">
        <f t="shared" ref="BG8" si="51">BF8+($H8-$G8)/COUNT($N$4:$BT$4)</f>
        <v>60000</v>
      </c>
      <c r="BH8" s="117">
        <f t="shared" ref="BH8" si="52">BG8+($H8-$G8)/COUNT($N$4:$BT$4)</f>
        <v>60000</v>
      </c>
      <c r="BI8" s="117">
        <f t="shared" ref="BI8" si="53">BH8+($H8-$G8)/COUNT($N$4:$BT$4)</f>
        <v>60000</v>
      </c>
      <c r="BJ8" s="117">
        <f t="shared" ref="BJ8" si="54">BI8+($H8-$G8)/COUNT($N$4:$BT$4)</f>
        <v>60000</v>
      </c>
      <c r="BK8" s="117">
        <f t="shared" ref="BK8" si="55">BJ8+($H8-$G8)/COUNT($N$4:$BT$4)</f>
        <v>60000</v>
      </c>
      <c r="BL8" s="117">
        <f t="shared" ref="BL8" si="56">BK8+($H8-$G8)/COUNT($N$4:$BT$4)</f>
        <v>60000</v>
      </c>
      <c r="BM8" s="117">
        <f t="shared" ref="BM8" si="57">BL8+($H8-$G8)/COUNT($N$4:$BT$4)</f>
        <v>60000</v>
      </c>
      <c r="BN8" s="117">
        <f t="shared" ref="BN8" si="58">BM8+($H8-$G8)/COUNT($N$4:$BT$4)</f>
        <v>60000</v>
      </c>
      <c r="BO8" s="117">
        <f t="shared" ref="BO8" si="59">BN8+($H8-$G8)/COUNT($N$4:$BT$4)</f>
        <v>60000</v>
      </c>
      <c r="BP8" s="117">
        <f t="shared" ref="BP8" si="60">BO8+($H8-$G8)/COUNT($N$4:$BT$4)</f>
        <v>60000</v>
      </c>
      <c r="BQ8" s="117">
        <f t="shared" ref="BQ8" si="61">BP8+($H8-$G8)/COUNT($N$4:$BT$4)</f>
        <v>60000</v>
      </c>
      <c r="BR8" s="117">
        <f t="shared" ref="BR8" si="62">BQ8+($H8-$G8)/COUNT($N$4:$BT$4)</f>
        <v>60000</v>
      </c>
      <c r="BS8" s="117">
        <f t="shared" ref="BS8" si="63">BR8+($H8-$G8)/COUNT($N$4:$BT$4)</f>
        <v>60000</v>
      </c>
      <c r="BT8" s="117">
        <f t="shared" ref="BT8" si="64">BS8+($H8-$G8)/COUNT($N$4:$BT$4)</f>
        <v>60000</v>
      </c>
      <c r="BU8" s="17"/>
    </row>
    <row r="9" spans="1:78" x14ac:dyDescent="0.3">
      <c r="A9" t="s">
        <v>9</v>
      </c>
      <c r="F9" s="25" t="s">
        <v>4</v>
      </c>
      <c r="G9" s="27">
        <v>12</v>
      </c>
      <c r="H9" s="27">
        <f>G9</f>
        <v>12</v>
      </c>
      <c r="M9" s="26">
        <f>G9</f>
        <v>12</v>
      </c>
      <c r="N9" s="26">
        <f t="shared" ref="N9:AS9" si="65">M9+($H9-$G9)/COUNT($N$4:$BT$4)</f>
        <v>12</v>
      </c>
      <c r="O9" s="26">
        <f t="shared" si="65"/>
        <v>12</v>
      </c>
      <c r="P9" s="26">
        <f t="shared" si="65"/>
        <v>12</v>
      </c>
      <c r="Q9" s="26">
        <f t="shared" si="65"/>
        <v>12</v>
      </c>
      <c r="R9" s="26">
        <f t="shared" si="65"/>
        <v>12</v>
      </c>
      <c r="S9" s="26">
        <f t="shared" si="65"/>
        <v>12</v>
      </c>
      <c r="T9" s="26">
        <f t="shared" si="65"/>
        <v>12</v>
      </c>
      <c r="U9" s="26">
        <f t="shared" si="65"/>
        <v>12</v>
      </c>
      <c r="V9" s="26">
        <f t="shared" si="65"/>
        <v>12</v>
      </c>
      <c r="W9" s="26">
        <f t="shared" si="65"/>
        <v>12</v>
      </c>
      <c r="X9" s="26">
        <f t="shared" si="65"/>
        <v>12</v>
      </c>
      <c r="Y9" s="26">
        <f t="shared" si="65"/>
        <v>12</v>
      </c>
      <c r="Z9" s="26">
        <f t="shared" si="65"/>
        <v>12</v>
      </c>
      <c r="AA9" s="26">
        <f t="shared" si="65"/>
        <v>12</v>
      </c>
      <c r="AB9" s="26">
        <f t="shared" si="65"/>
        <v>12</v>
      </c>
      <c r="AC9" s="26">
        <f t="shared" si="65"/>
        <v>12</v>
      </c>
      <c r="AD9" s="26">
        <f t="shared" si="65"/>
        <v>12</v>
      </c>
      <c r="AE9" s="26">
        <f t="shared" si="65"/>
        <v>12</v>
      </c>
      <c r="AF9" s="26">
        <f t="shared" si="65"/>
        <v>12</v>
      </c>
      <c r="AG9" s="26">
        <f t="shared" si="65"/>
        <v>12</v>
      </c>
      <c r="AH9" s="26">
        <f t="shared" si="65"/>
        <v>12</v>
      </c>
      <c r="AI9" s="26">
        <f t="shared" si="65"/>
        <v>12</v>
      </c>
      <c r="AJ9" s="26">
        <f t="shared" si="65"/>
        <v>12</v>
      </c>
      <c r="AK9" s="26">
        <f t="shared" si="65"/>
        <v>12</v>
      </c>
      <c r="AL9" s="26">
        <f t="shared" si="65"/>
        <v>12</v>
      </c>
      <c r="AM9" s="26">
        <f t="shared" si="65"/>
        <v>12</v>
      </c>
      <c r="AN9" s="26">
        <f t="shared" si="65"/>
        <v>12</v>
      </c>
      <c r="AO9" s="26">
        <f t="shared" si="65"/>
        <v>12</v>
      </c>
      <c r="AP9" s="26">
        <f t="shared" si="65"/>
        <v>12</v>
      </c>
      <c r="AQ9" s="26">
        <f t="shared" si="65"/>
        <v>12</v>
      </c>
      <c r="AR9" s="26">
        <f t="shared" si="65"/>
        <v>12</v>
      </c>
      <c r="AS9" s="26">
        <f t="shared" si="65"/>
        <v>12</v>
      </c>
      <c r="AT9" s="26">
        <f t="shared" ref="AT9:BT9" si="66">AS9+($H9-$G9)/COUNT($N$4:$BT$4)</f>
        <v>12</v>
      </c>
      <c r="AU9" s="26">
        <f t="shared" si="66"/>
        <v>12</v>
      </c>
      <c r="AV9" s="26">
        <f t="shared" si="66"/>
        <v>12</v>
      </c>
      <c r="AW9" s="26">
        <f t="shared" si="66"/>
        <v>12</v>
      </c>
      <c r="AX9" s="26">
        <f t="shared" si="66"/>
        <v>12</v>
      </c>
      <c r="AY9" s="26">
        <f t="shared" si="66"/>
        <v>12</v>
      </c>
      <c r="AZ9" s="26">
        <f t="shared" si="66"/>
        <v>12</v>
      </c>
      <c r="BA9" s="26">
        <f t="shared" si="66"/>
        <v>12</v>
      </c>
      <c r="BB9" s="26">
        <f t="shared" si="66"/>
        <v>12</v>
      </c>
      <c r="BC9" s="26">
        <f t="shared" si="66"/>
        <v>12</v>
      </c>
      <c r="BD9" s="26">
        <f t="shared" si="66"/>
        <v>12</v>
      </c>
      <c r="BE9" s="26">
        <f t="shared" si="66"/>
        <v>12</v>
      </c>
      <c r="BF9" s="26">
        <f t="shared" si="66"/>
        <v>12</v>
      </c>
      <c r="BG9" s="26">
        <f t="shared" si="66"/>
        <v>12</v>
      </c>
      <c r="BH9" s="26">
        <f t="shared" si="66"/>
        <v>12</v>
      </c>
      <c r="BI9" s="26">
        <f t="shared" si="66"/>
        <v>12</v>
      </c>
      <c r="BJ9" s="26">
        <f t="shared" si="66"/>
        <v>12</v>
      </c>
      <c r="BK9" s="26">
        <f t="shared" si="66"/>
        <v>12</v>
      </c>
      <c r="BL9" s="26">
        <f t="shared" si="66"/>
        <v>12</v>
      </c>
      <c r="BM9" s="26">
        <f t="shared" si="66"/>
        <v>12</v>
      </c>
      <c r="BN9" s="26">
        <f t="shared" si="66"/>
        <v>12</v>
      </c>
      <c r="BO9" s="26">
        <f t="shared" si="66"/>
        <v>12</v>
      </c>
      <c r="BP9" s="26">
        <f t="shared" si="66"/>
        <v>12</v>
      </c>
      <c r="BQ9" s="26">
        <f t="shared" si="66"/>
        <v>12</v>
      </c>
      <c r="BR9" s="26">
        <f t="shared" si="66"/>
        <v>12</v>
      </c>
      <c r="BS9" s="26">
        <f t="shared" si="66"/>
        <v>12</v>
      </c>
      <c r="BT9" s="26">
        <f t="shared" si="66"/>
        <v>12</v>
      </c>
      <c r="BU9" s="17"/>
    </row>
    <row r="10" spans="1:78" x14ac:dyDescent="0.3">
      <c r="A10" s="22" t="s">
        <v>18</v>
      </c>
      <c r="BU10" s="17"/>
    </row>
    <row r="11" spans="1:78" x14ac:dyDescent="0.3">
      <c r="A11" t="s">
        <v>14</v>
      </c>
      <c r="F11" s="25" t="s">
        <v>17</v>
      </c>
      <c r="G11" s="28">
        <v>0.3</v>
      </c>
      <c r="H11" s="28">
        <f>G11</f>
        <v>0.3</v>
      </c>
      <c r="M11" s="71">
        <f>G11</f>
        <v>0.3</v>
      </c>
      <c r="N11" s="71">
        <f t="shared" ref="N11:AS11" si="67">M11+($H11-$G11)/COUNT($N$4:$BT$4)</f>
        <v>0.3</v>
      </c>
      <c r="O11" s="71">
        <f t="shared" si="67"/>
        <v>0.3</v>
      </c>
      <c r="P11" s="71">
        <f t="shared" si="67"/>
        <v>0.3</v>
      </c>
      <c r="Q11" s="71">
        <f t="shared" si="67"/>
        <v>0.3</v>
      </c>
      <c r="R11" s="71">
        <f t="shared" si="67"/>
        <v>0.3</v>
      </c>
      <c r="S11" s="71">
        <f t="shared" si="67"/>
        <v>0.3</v>
      </c>
      <c r="T11" s="71">
        <f t="shared" si="67"/>
        <v>0.3</v>
      </c>
      <c r="U11" s="71">
        <f t="shared" si="67"/>
        <v>0.3</v>
      </c>
      <c r="V11" s="71">
        <f t="shared" si="67"/>
        <v>0.3</v>
      </c>
      <c r="W11" s="71">
        <f t="shared" si="67"/>
        <v>0.3</v>
      </c>
      <c r="X11" s="71">
        <f t="shared" si="67"/>
        <v>0.3</v>
      </c>
      <c r="Y11" s="71">
        <f t="shared" si="67"/>
        <v>0.3</v>
      </c>
      <c r="Z11" s="71">
        <f t="shared" si="67"/>
        <v>0.3</v>
      </c>
      <c r="AA11" s="71">
        <f t="shared" si="67"/>
        <v>0.3</v>
      </c>
      <c r="AB11" s="71">
        <f t="shared" si="67"/>
        <v>0.3</v>
      </c>
      <c r="AC11" s="71">
        <f t="shared" si="67"/>
        <v>0.3</v>
      </c>
      <c r="AD11" s="71">
        <f t="shared" si="67"/>
        <v>0.3</v>
      </c>
      <c r="AE11" s="71">
        <f t="shared" si="67"/>
        <v>0.3</v>
      </c>
      <c r="AF11" s="71">
        <f t="shared" si="67"/>
        <v>0.3</v>
      </c>
      <c r="AG11" s="71">
        <f t="shared" si="67"/>
        <v>0.3</v>
      </c>
      <c r="AH11" s="71">
        <f t="shared" si="67"/>
        <v>0.3</v>
      </c>
      <c r="AI11" s="71">
        <f t="shared" si="67"/>
        <v>0.3</v>
      </c>
      <c r="AJ11" s="71">
        <f t="shared" si="67"/>
        <v>0.3</v>
      </c>
      <c r="AK11" s="71">
        <f t="shared" si="67"/>
        <v>0.3</v>
      </c>
      <c r="AL11" s="71">
        <f t="shared" si="67"/>
        <v>0.3</v>
      </c>
      <c r="AM11" s="71">
        <f t="shared" si="67"/>
        <v>0.3</v>
      </c>
      <c r="AN11" s="71">
        <f t="shared" si="67"/>
        <v>0.3</v>
      </c>
      <c r="AO11" s="71">
        <f t="shared" si="67"/>
        <v>0.3</v>
      </c>
      <c r="AP11" s="71">
        <f t="shared" si="67"/>
        <v>0.3</v>
      </c>
      <c r="AQ11" s="71">
        <f t="shared" si="67"/>
        <v>0.3</v>
      </c>
      <c r="AR11" s="71">
        <f t="shared" si="67"/>
        <v>0.3</v>
      </c>
      <c r="AS11" s="71">
        <f t="shared" si="67"/>
        <v>0.3</v>
      </c>
      <c r="AT11" s="71">
        <f t="shared" ref="AT11:BT11" si="68">AS11+($H11-$G11)/COUNT($N$4:$BT$4)</f>
        <v>0.3</v>
      </c>
      <c r="AU11" s="71">
        <f t="shared" si="68"/>
        <v>0.3</v>
      </c>
      <c r="AV11" s="71">
        <f t="shared" si="68"/>
        <v>0.3</v>
      </c>
      <c r="AW11" s="71">
        <f t="shared" si="68"/>
        <v>0.3</v>
      </c>
      <c r="AX11" s="71">
        <f t="shared" si="68"/>
        <v>0.3</v>
      </c>
      <c r="AY11" s="71">
        <f t="shared" si="68"/>
        <v>0.3</v>
      </c>
      <c r="AZ11" s="71">
        <f t="shared" si="68"/>
        <v>0.3</v>
      </c>
      <c r="BA11" s="71">
        <f t="shared" si="68"/>
        <v>0.3</v>
      </c>
      <c r="BB11" s="71">
        <f t="shared" si="68"/>
        <v>0.3</v>
      </c>
      <c r="BC11" s="71">
        <f t="shared" si="68"/>
        <v>0.3</v>
      </c>
      <c r="BD11" s="71">
        <f t="shared" si="68"/>
        <v>0.3</v>
      </c>
      <c r="BE11" s="71">
        <f t="shared" si="68"/>
        <v>0.3</v>
      </c>
      <c r="BF11" s="71">
        <f t="shared" si="68"/>
        <v>0.3</v>
      </c>
      <c r="BG11" s="71">
        <f t="shared" si="68"/>
        <v>0.3</v>
      </c>
      <c r="BH11" s="71">
        <f t="shared" si="68"/>
        <v>0.3</v>
      </c>
      <c r="BI11" s="71">
        <f t="shared" si="68"/>
        <v>0.3</v>
      </c>
      <c r="BJ11" s="71">
        <f t="shared" si="68"/>
        <v>0.3</v>
      </c>
      <c r="BK11" s="71">
        <f t="shared" si="68"/>
        <v>0.3</v>
      </c>
      <c r="BL11" s="71">
        <f t="shared" si="68"/>
        <v>0.3</v>
      </c>
      <c r="BM11" s="71">
        <f t="shared" si="68"/>
        <v>0.3</v>
      </c>
      <c r="BN11" s="71">
        <f t="shared" si="68"/>
        <v>0.3</v>
      </c>
      <c r="BO11" s="71">
        <f t="shared" si="68"/>
        <v>0.3</v>
      </c>
      <c r="BP11" s="71">
        <f t="shared" si="68"/>
        <v>0.3</v>
      </c>
      <c r="BQ11" s="71">
        <f t="shared" si="68"/>
        <v>0.3</v>
      </c>
      <c r="BR11" s="71">
        <f t="shared" si="68"/>
        <v>0.3</v>
      </c>
      <c r="BS11" s="71">
        <f t="shared" si="68"/>
        <v>0.3</v>
      </c>
      <c r="BT11" s="71">
        <f t="shared" si="68"/>
        <v>0.3</v>
      </c>
      <c r="BU11" s="17"/>
    </row>
    <row r="12" spans="1:78" x14ac:dyDescent="0.3">
      <c r="A12" t="s">
        <v>12</v>
      </c>
      <c r="F12" s="25" t="s">
        <v>17</v>
      </c>
      <c r="G12" s="28">
        <f>1-G11</f>
        <v>0.7</v>
      </c>
      <c r="H12" s="28">
        <f>1-H11</f>
        <v>0.7</v>
      </c>
      <c r="M12" s="71">
        <f t="shared" ref="M12:M13" si="69">G12</f>
        <v>0.7</v>
      </c>
      <c r="N12" s="71">
        <f t="shared" ref="N12:BT12" si="70">M12+($H12-$G12)/COUNT($N$4:$BT$4)</f>
        <v>0.7</v>
      </c>
      <c r="O12" s="71">
        <f t="shared" si="70"/>
        <v>0.7</v>
      </c>
      <c r="P12" s="71">
        <f t="shared" si="70"/>
        <v>0.7</v>
      </c>
      <c r="Q12" s="71">
        <f t="shared" si="70"/>
        <v>0.7</v>
      </c>
      <c r="R12" s="71">
        <f t="shared" si="70"/>
        <v>0.7</v>
      </c>
      <c r="S12" s="71">
        <f t="shared" si="70"/>
        <v>0.7</v>
      </c>
      <c r="T12" s="71">
        <f t="shared" si="70"/>
        <v>0.7</v>
      </c>
      <c r="U12" s="71">
        <f t="shared" si="70"/>
        <v>0.7</v>
      </c>
      <c r="V12" s="71">
        <f t="shared" si="70"/>
        <v>0.7</v>
      </c>
      <c r="W12" s="71">
        <f t="shared" si="70"/>
        <v>0.7</v>
      </c>
      <c r="X12" s="71">
        <f t="shared" si="70"/>
        <v>0.7</v>
      </c>
      <c r="Y12" s="71">
        <f t="shared" si="70"/>
        <v>0.7</v>
      </c>
      <c r="Z12" s="71">
        <f t="shared" si="70"/>
        <v>0.7</v>
      </c>
      <c r="AA12" s="71">
        <f t="shared" si="70"/>
        <v>0.7</v>
      </c>
      <c r="AB12" s="71">
        <f t="shared" si="70"/>
        <v>0.7</v>
      </c>
      <c r="AC12" s="71">
        <f t="shared" si="70"/>
        <v>0.7</v>
      </c>
      <c r="AD12" s="71">
        <f t="shared" si="70"/>
        <v>0.7</v>
      </c>
      <c r="AE12" s="71">
        <f t="shared" si="70"/>
        <v>0.7</v>
      </c>
      <c r="AF12" s="71">
        <f t="shared" si="70"/>
        <v>0.7</v>
      </c>
      <c r="AG12" s="71">
        <f t="shared" si="70"/>
        <v>0.7</v>
      </c>
      <c r="AH12" s="71">
        <f t="shared" si="70"/>
        <v>0.7</v>
      </c>
      <c r="AI12" s="71">
        <f t="shared" si="70"/>
        <v>0.7</v>
      </c>
      <c r="AJ12" s="71">
        <f t="shared" si="70"/>
        <v>0.7</v>
      </c>
      <c r="AK12" s="71">
        <f t="shared" si="70"/>
        <v>0.7</v>
      </c>
      <c r="AL12" s="71">
        <f t="shared" si="70"/>
        <v>0.7</v>
      </c>
      <c r="AM12" s="71">
        <f t="shared" si="70"/>
        <v>0.7</v>
      </c>
      <c r="AN12" s="71">
        <f t="shared" si="70"/>
        <v>0.7</v>
      </c>
      <c r="AO12" s="71">
        <f t="shared" si="70"/>
        <v>0.7</v>
      </c>
      <c r="AP12" s="71">
        <f t="shared" si="70"/>
        <v>0.7</v>
      </c>
      <c r="AQ12" s="71">
        <f t="shared" si="70"/>
        <v>0.7</v>
      </c>
      <c r="AR12" s="71">
        <f t="shared" si="70"/>
        <v>0.7</v>
      </c>
      <c r="AS12" s="71">
        <f t="shared" si="70"/>
        <v>0.7</v>
      </c>
      <c r="AT12" s="71">
        <f t="shared" si="70"/>
        <v>0.7</v>
      </c>
      <c r="AU12" s="71">
        <f t="shared" si="70"/>
        <v>0.7</v>
      </c>
      <c r="AV12" s="71">
        <f t="shared" si="70"/>
        <v>0.7</v>
      </c>
      <c r="AW12" s="71">
        <f t="shared" si="70"/>
        <v>0.7</v>
      </c>
      <c r="AX12" s="71">
        <f t="shared" si="70"/>
        <v>0.7</v>
      </c>
      <c r="AY12" s="71">
        <f t="shared" si="70"/>
        <v>0.7</v>
      </c>
      <c r="AZ12" s="71">
        <f t="shared" si="70"/>
        <v>0.7</v>
      </c>
      <c r="BA12" s="71">
        <f t="shared" si="70"/>
        <v>0.7</v>
      </c>
      <c r="BB12" s="71">
        <f t="shared" si="70"/>
        <v>0.7</v>
      </c>
      <c r="BC12" s="71">
        <f t="shared" si="70"/>
        <v>0.7</v>
      </c>
      <c r="BD12" s="71">
        <f t="shared" si="70"/>
        <v>0.7</v>
      </c>
      <c r="BE12" s="71">
        <f t="shared" si="70"/>
        <v>0.7</v>
      </c>
      <c r="BF12" s="71">
        <f t="shared" si="70"/>
        <v>0.7</v>
      </c>
      <c r="BG12" s="71">
        <f t="shared" si="70"/>
        <v>0.7</v>
      </c>
      <c r="BH12" s="71">
        <f t="shared" si="70"/>
        <v>0.7</v>
      </c>
      <c r="BI12" s="71">
        <f t="shared" si="70"/>
        <v>0.7</v>
      </c>
      <c r="BJ12" s="71">
        <f t="shared" si="70"/>
        <v>0.7</v>
      </c>
      <c r="BK12" s="71">
        <f t="shared" si="70"/>
        <v>0.7</v>
      </c>
      <c r="BL12" s="71">
        <f t="shared" si="70"/>
        <v>0.7</v>
      </c>
      <c r="BM12" s="71">
        <f t="shared" si="70"/>
        <v>0.7</v>
      </c>
      <c r="BN12" s="71">
        <f t="shared" si="70"/>
        <v>0.7</v>
      </c>
      <c r="BO12" s="71">
        <f t="shared" si="70"/>
        <v>0.7</v>
      </c>
      <c r="BP12" s="71">
        <f t="shared" si="70"/>
        <v>0.7</v>
      </c>
      <c r="BQ12" s="71">
        <f t="shared" si="70"/>
        <v>0.7</v>
      </c>
      <c r="BR12" s="71">
        <f t="shared" si="70"/>
        <v>0.7</v>
      </c>
      <c r="BS12" s="71">
        <f t="shared" si="70"/>
        <v>0.7</v>
      </c>
      <c r="BT12" s="71">
        <f t="shared" si="70"/>
        <v>0.7</v>
      </c>
      <c r="BU12" s="17"/>
    </row>
    <row r="13" spans="1:78" x14ac:dyDescent="0.3">
      <c r="A13" t="s">
        <v>15</v>
      </c>
      <c r="F13" s="25" t="s">
        <v>17</v>
      </c>
      <c r="G13" s="28">
        <v>0.2</v>
      </c>
      <c r="H13" s="28">
        <f>G13</f>
        <v>0.2</v>
      </c>
      <c r="M13" s="71">
        <f t="shared" si="69"/>
        <v>0.2</v>
      </c>
      <c r="N13" s="71">
        <f t="shared" ref="N13:BT13" si="71">M13+($H13-$G13)/COUNT($N$4:$BT$4)</f>
        <v>0.2</v>
      </c>
      <c r="O13" s="71">
        <f t="shared" si="71"/>
        <v>0.2</v>
      </c>
      <c r="P13" s="71">
        <f t="shared" si="71"/>
        <v>0.2</v>
      </c>
      <c r="Q13" s="71">
        <f t="shared" si="71"/>
        <v>0.2</v>
      </c>
      <c r="R13" s="71">
        <f t="shared" si="71"/>
        <v>0.2</v>
      </c>
      <c r="S13" s="71">
        <f t="shared" si="71"/>
        <v>0.2</v>
      </c>
      <c r="T13" s="71">
        <f t="shared" si="71"/>
        <v>0.2</v>
      </c>
      <c r="U13" s="71">
        <f t="shared" si="71"/>
        <v>0.2</v>
      </c>
      <c r="V13" s="71">
        <f t="shared" si="71"/>
        <v>0.2</v>
      </c>
      <c r="W13" s="71">
        <f t="shared" si="71"/>
        <v>0.2</v>
      </c>
      <c r="X13" s="71">
        <f t="shared" si="71"/>
        <v>0.2</v>
      </c>
      <c r="Y13" s="71">
        <f t="shared" si="71"/>
        <v>0.2</v>
      </c>
      <c r="Z13" s="71">
        <f t="shared" si="71"/>
        <v>0.2</v>
      </c>
      <c r="AA13" s="71">
        <f t="shared" si="71"/>
        <v>0.2</v>
      </c>
      <c r="AB13" s="71">
        <f t="shared" si="71"/>
        <v>0.2</v>
      </c>
      <c r="AC13" s="71">
        <f t="shared" si="71"/>
        <v>0.2</v>
      </c>
      <c r="AD13" s="71">
        <f t="shared" si="71"/>
        <v>0.2</v>
      </c>
      <c r="AE13" s="71">
        <f t="shared" si="71"/>
        <v>0.2</v>
      </c>
      <c r="AF13" s="71">
        <f t="shared" si="71"/>
        <v>0.2</v>
      </c>
      <c r="AG13" s="71">
        <f t="shared" si="71"/>
        <v>0.2</v>
      </c>
      <c r="AH13" s="71">
        <f t="shared" si="71"/>
        <v>0.2</v>
      </c>
      <c r="AI13" s="71">
        <f t="shared" si="71"/>
        <v>0.2</v>
      </c>
      <c r="AJ13" s="71">
        <f t="shared" si="71"/>
        <v>0.2</v>
      </c>
      <c r="AK13" s="71">
        <f t="shared" si="71"/>
        <v>0.2</v>
      </c>
      <c r="AL13" s="71">
        <f t="shared" si="71"/>
        <v>0.2</v>
      </c>
      <c r="AM13" s="71">
        <f t="shared" si="71"/>
        <v>0.2</v>
      </c>
      <c r="AN13" s="71">
        <f t="shared" si="71"/>
        <v>0.2</v>
      </c>
      <c r="AO13" s="71">
        <f t="shared" si="71"/>
        <v>0.2</v>
      </c>
      <c r="AP13" s="71">
        <f t="shared" si="71"/>
        <v>0.2</v>
      </c>
      <c r="AQ13" s="71">
        <f t="shared" si="71"/>
        <v>0.2</v>
      </c>
      <c r="AR13" s="71">
        <f t="shared" si="71"/>
        <v>0.2</v>
      </c>
      <c r="AS13" s="71">
        <f t="shared" si="71"/>
        <v>0.2</v>
      </c>
      <c r="AT13" s="71">
        <f t="shared" si="71"/>
        <v>0.2</v>
      </c>
      <c r="AU13" s="71">
        <f t="shared" si="71"/>
        <v>0.2</v>
      </c>
      <c r="AV13" s="71">
        <f t="shared" si="71"/>
        <v>0.2</v>
      </c>
      <c r="AW13" s="71">
        <f t="shared" si="71"/>
        <v>0.2</v>
      </c>
      <c r="AX13" s="71">
        <f t="shared" si="71"/>
        <v>0.2</v>
      </c>
      <c r="AY13" s="71">
        <f t="shared" si="71"/>
        <v>0.2</v>
      </c>
      <c r="AZ13" s="71">
        <f t="shared" si="71"/>
        <v>0.2</v>
      </c>
      <c r="BA13" s="71">
        <f t="shared" si="71"/>
        <v>0.2</v>
      </c>
      <c r="BB13" s="71">
        <f t="shared" si="71"/>
        <v>0.2</v>
      </c>
      <c r="BC13" s="71">
        <f t="shared" si="71"/>
        <v>0.2</v>
      </c>
      <c r="BD13" s="71">
        <f t="shared" si="71"/>
        <v>0.2</v>
      </c>
      <c r="BE13" s="71">
        <f t="shared" si="71"/>
        <v>0.2</v>
      </c>
      <c r="BF13" s="71">
        <f t="shared" si="71"/>
        <v>0.2</v>
      </c>
      <c r="BG13" s="71">
        <f t="shared" si="71"/>
        <v>0.2</v>
      </c>
      <c r="BH13" s="71">
        <f t="shared" si="71"/>
        <v>0.2</v>
      </c>
      <c r="BI13" s="71">
        <f t="shared" si="71"/>
        <v>0.2</v>
      </c>
      <c r="BJ13" s="71">
        <f t="shared" si="71"/>
        <v>0.2</v>
      </c>
      <c r="BK13" s="71">
        <f t="shared" si="71"/>
        <v>0.2</v>
      </c>
      <c r="BL13" s="71">
        <f t="shared" si="71"/>
        <v>0.2</v>
      </c>
      <c r="BM13" s="71">
        <f t="shared" si="71"/>
        <v>0.2</v>
      </c>
      <c r="BN13" s="71">
        <f t="shared" si="71"/>
        <v>0.2</v>
      </c>
      <c r="BO13" s="71">
        <f t="shared" si="71"/>
        <v>0.2</v>
      </c>
      <c r="BP13" s="71">
        <f t="shared" si="71"/>
        <v>0.2</v>
      </c>
      <c r="BQ13" s="71">
        <f t="shared" si="71"/>
        <v>0.2</v>
      </c>
      <c r="BR13" s="71">
        <f t="shared" si="71"/>
        <v>0.2</v>
      </c>
      <c r="BS13" s="71">
        <f t="shared" si="71"/>
        <v>0.2</v>
      </c>
      <c r="BT13" s="71">
        <f t="shared" si="71"/>
        <v>0.2</v>
      </c>
      <c r="BU13" s="17"/>
    </row>
    <row r="14" spans="1:78" x14ac:dyDescent="0.3">
      <c r="A14" s="14" t="s">
        <v>33</v>
      </c>
      <c r="B14" s="15"/>
      <c r="C14" s="16"/>
      <c r="D14" s="15"/>
      <c r="E14" s="17"/>
      <c r="F14" s="17"/>
      <c r="G14" s="17"/>
      <c r="H14" s="17"/>
      <c r="I14" s="17"/>
      <c r="J14" s="17"/>
      <c r="K14" s="17"/>
      <c r="L14" s="17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7"/>
      <c r="BV14" s="18"/>
      <c r="BW14" s="18"/>
      <c r="BX14" s="18"/>
      <c r="BY14" s="18"/>
      <c r="BZ14" s="18"/>
    </row>
    <row r="15" spans="1:78" x14ac:dyDescent="0.3">
      <c r="A15" s="52" t="s">
        <v>34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17"/>
      <c r="BV15" s="51"/>
      <c r="BW15" s="51"/>
      <c r="BX15" s="51"/>
      <c r="BY15" s="51"/>
      <c r="BZ15" s="51"/>
    </row>
    <row r="16" spans="1:78" x14ac:dyDescent="0.3">
      <c r="A16" s="41" t="s">
        <v>37</v>
      </c>
      <c r="BU16" s="17"/>
    </row>
    <row r="17" spans="1:78" x14ac:dyDescent="0.3">
      <c r="A17" t="s">
        <v>38</v>
      </c>
      <c r="F17" s="25" t="s">
        <v>59</v>
      </c>
      <c r="G17" s="42">
        <v>50000</v>
      </c>
      <c r="H17" s="43">
        <f>G17*10</f>
        <v>500000</v>
      </c>
      <c r="M17" s="42">
        <f>G17</f>
        <v>50000</v>
      </c>
      <c r="N17" s="42">
        <f t="shared" ref="N17:BT17" si="72">M17+($H17-$G17)/COUNT($N$4:$BT$4)</f>
        <v>57627.118644067799</v>
      </c>
      <c r="O17" s="42">
        <f t="shared" si="72"/>
        <v>65254.237288135599</v>
      </c>
      <c r="P17" s="42">
        <f t="shared" si="72"/>
        <v>72881.355932203398</v>
      </c>
      <c r="Q17" s="42">
        <f t="shared" si="72"/>
        <v>80508.474576271197</v>
      </c>
      <c r="R17" s="42">
        <f t="shared" si="72"/>
        <v>88135.593220338997</v>
      </c>
      <c r="S17" s="42">
        <f t="shared" si="72"/>
        <v>95762.711864406796</v>
      </c>
      <c r="T17" s="42">
        <f t="shared" si="72"/>
        <v>103389.8305084746</v>
      </c>
      <c r="U17" s="42">
        <f t="shared" si="72"/>
        <v>111016.94915254239</v>
      </c>
      <c r="V17" s="42">
        <f t="shared" si="72"/>
        <v>118644.06779661019</v>
      </c>
      <c r="W17" s="42">
        <f t="shared" si="72"/>
        <v>126271.18644067799</v>
      </c>
      <c r="X17" s="42">
        <f t="shared" si="72"/>
        <v>133898.30508474578</v>
      </c>
      <c r="Y17" s="42">
        <f t="shared" si="72"/>
        <v>141525.42372881356</v>
      </c>
      <c r="Z17" s="42">
        <f t="shared" si="72"/>
        <v>149152.54237288135</v>
      </c>
      <c r="AA17" s="42">
        <f t="shared" si="72"/>
        <v>156779.66101694913</v>
      </c>
      <c r="AB17" s="42">
        <f t="shared" si="72"/>
        <v>164406.77966101692</v>
      </c>
      <c r="AC17" s="42">
        <f t="shared" si="72"/>
        <v>172033.8983050847</v>
      </c>
      <c r="AD17" s="42">
        <f t="shared" si="72"/>
        <v>179661.01694915249</v>
      </c>
      <c r="AE17" s="42">
        <f t="shared" si="72"/>
        <v>187288.13559322027</v>
      </c>
      <c r="AF17" s="42">
        <f t="shared" si="72"/>
        <v>194915.25423728806</v>
      </c>
      <c r="AG17" s="42">
        <f t="shared" si="72"/>
        <v>202542.37288135584</v>
      </c>
      <c r="AH17" s="42">
        <f t="shared" si="72"/>
        <v>210169.49152542363</v>
      </c>
      <c r="AI17" s="42">
        <f t="shared" si="72"/>
        <v>217796.61016949141</v>
      </c>
      <c r="AJ17" s="42">
        <f t="shared" si="72"/>
        <v>225423.7288135592</v>
      </c>
      <c r="AK17" s="42">
        <f t="shared" si="72"/>
        <v>233050.84745762698</v>
      </c>
      <c r="AL17" s="42">
        <f t="shared" si="72"/>
        <v>240677.96610169476</v>
      </c>
      <c r="AM17" s="42">
        <f t="shared" si="72"/>
        <v>248305.08474576255</v>
      </c>
      <c r="AN17" s="42">
        <f t="shared" si="72"/>
        <v>255932.20338983033</v>
      </c>
      <c r="AO17" s="42">
        <f t="shared" si="72"/>
        <v>263559.32203389815</v>
      </c>
      <c r="AP17" s="42">
        <f t="shared" si="72"/>
        <v>271186.44067796593</v>
      </c>
      <c r="AQ17" s="42">
        <f t="shared" si="72"/>
        <v>278813.55932203372</v>
      </c>
      <c r="AR17" s="42">
        <f t="shared" si="72"/>
        <v>286440.6779661015</v>
      </c>
      <c r="AS17" s="42">
        <f t="shared" si="72"/>
        <v>294067.79661016929</v>
      </c>
      <c r="AT17" s="42">
        <f t="shared" si="72"/>
        <v>301694.91525423707</v>
      </c>
      <c r="AU17" s="42">
        <f t="shared" si="72"/>
        <v>309322.03389830486</v>
      </c>
      <c r="AV17" s="42">
        <f t="shared" si="72"/>
        <v>316949.15254237264</v>
      </c>
      <c r="AW17" s="42">
        <f t="shared" si="72"/>
        <v>324576.27118644043</v>
      </c>
      <c r="AX17" s="42">
        <f t="shared" si="72"/>
        <v>332203.38983050821</v>
      </c>
      <c r="AY17" s="42">
        <f t="shared" si="72"/>
        <v>339830.508474576</v>
      </c>
      <c r="AZ17" s="42">
        <f t="shared" si="72"/>
        <v>347457.62711864378</v>
      </c>
      <c r="BA17" s="42">
        <f t="shared" si="72"/>
        <v>355084.74576271157</v>
      </c>
      <c r="BB17" s="42">
        <f t="shared" si="72"/>
        <v>362711.86440677935</v>
      </c>
      <c r="BC17" s="42">
        <f t="shared" si="72"/>
        <v>370338.98305084714</v>
      </c>
      <c r="BD17" s="42">
        <f t="shared" si="72"/>
        <v>377966.10169491492</v>
      </c>
      <c r="BE17" s="42">
        <f t="shared" si="72"/>
        <v>385593.2203389827</v>
      </c>
      <c r="BF17" s="42">
        <f t="shared" si="72"/>
        <v>393220.33898305049</v>
      </c>
      <c r="BG17" s="42">
        <f t="shared" si="72"/>
        <v>400847.45762711827</v>
      </c>
      <c r="BH17" s="42">
        <f t="shared" si="72"/>
        <v>408474.57627118606</v>
      </c>
      <c r="BI17" s="42">
        <f t="shared" si="72"/>
        <v>416101.69491525384</v>
      </c>
      <c r="BJ17" s="42">
        <f t="shared" si="72"/>
        <v>423728.81355932163</v>
      </c>
      <c r="BK17" s="42">
        <f t="shared" si="72"/>
        <v>431355.93220338941</v>
      </c>
      <c r="BL17" s="42">
        <f t="shared" si="72"/>
        <v>438983.0508474572</v>
      </c>
      <c r="BM17" s="42">
        <f t="shared" si="72"/>
        <v>446610.16949152498</v>
      </c>
      <c r="BN17" s="42">
        <f t="shared" si="72"/>
        <v>454237.28813559277</v>
      </c>
      <c r="BO17" s="42">
        <f t="shared" si="72"/>
        <v>461864.40677966055</v>
      </c>
      <c r="BP17" s="42">
        <f t="shared" si="72"/>
        <v>469491.52542372834</v>
      </c>
      <c r="BQ17" s="42">
        <f t="shared" si="72"/>
        <v>477118.64406779612</v>
      </c>
      <c r="BR17" s="42">
        <f t="shared" si="72"/>
        <v>484745.76271186391</v>
      </c>
      <c r="BS17" s="42">
        <f t="shared" si="72"/>
        <v>492372.88135593169</v>
      </c>
      <c r="BT17" s="42">
        <f t="shared" si="72"/>
        <v>499999.99999999948</v>
      </c>
      <c r="BU17" s="17"/>
      <c r="BV17" s="24">
        <f>SUMIF($M$3:$BT$3,BV$3,$M17:$BT17)</f>
        <v>1103389.8305084747</v>
      </c>
      <c r="BW17" s="24">
        <f t="shared" ref="BW17:BZ19" si="73">SUMIF($M$3:$BT$3,BW$3,$M17:$BT17)</f>
        <v>2201694.9152542367</v>
      </c>
      <c r="BX17" s="24">
        <f t="shared" si="73"/>
        <v>3299999.9999999977</v>
      </c>
      <c r="BY17" s="24">
        <f t="shared" si="73"/>
        <v>4398305.0847457582</v>
      </c>
      <c r="BZ17" s="24">
        <f t="shared" si="73"/>
        <v>5496610.1694915192</v>
      </c>
    </row>
    <row r="18" spans="1:78" x14ac:dyDescent="0.3">
      <c r="A18" t="s">
        <v>80</v>
      </c>
      <c r="F18" s="25" t="s">
        <v>59</v>
      </c>
      <c r="G18" s="42">
        <v>10000</v>
      </c>
      <c r="H18" s="43">
        <f>G18*10</f>
        <v>100000</v>
      </c>
      <c r="M18" s="42">
        <f t="shared" ref="M18:M19" si="74">G18</f>
        <v>10000</v>
      </c>
      <c r="N18" s="42">
        <f t="shared" ref="N18:BT18" si="75">M18+($H18-$G18)/COUNT($N$4:$BT$4)</f>
        <v>11525.423728813559</v>
      </c>
      <c r="O18" s="42">
        <f t="shared" si="75"/>
        <v>13050.847457627118</v>
      </c>
      <c r="P18" s="42">
        <f t="shared" si="75"/>
        <v>14576.271186440677</v>
      </c>
      <c r="Q18" s="42">
        <f t="shared" si="75"/>
        <v>16101.694915254237</v>
      </c>
      <c r="R18" s="42">
        <f t="shared" si="75"/>
        <v>17627.118644067796</v>
      </c>
      <c r="S18" s="42">
        <f t="shared" si="75"/>
        <v>19152.542372881355</v>
      </c>
      <c r="T18" s="42">
        <f t="shared" si="75"/>
        <v>20677.966101694914</v>
      </c>
      <c r="U18" s="42">
        <f t="shared" si="75"/>
        <v>22203.389830508473</v>
      </c>
      <c r="V18" s="42">
        <f t="shared" si="75"/>
        <v>23728.813559322032</v>
      </c>
      <c r="W18" s="42">
        <f t="shared" si="75"/>
        <v>25254.237288135591</v>
      </c>
      <c r="X18" s="42">
        <f t="shared" si="75"/>
        <v>26779.661016949151</v>
      </c>
      <c r="Y18" s="42">
        <f t="shared" si="75"/>
        <v>28305.08474576271</v>
      </c>
      <c r="Z18" s="42">
        <f t="shared" si="75"/>
        <v>29830.508474576269</v>
      </c>
      <c r="AA18" s="42">
        <f t="shared" si="75"/>
        <v>31355.932203389828</v>
      </c>
      <c r="AB18" s="42">
        <f t="shared" si="75"/>
        <v>32881.355932203391</v>
      </c>
      <c r="AC18" s="42">
        <f t="shared" si="75"/>
        <v>34406.779661016953</v>
      </c>
      <c r="AD18" s="42">
        <f t="shared" si="75"/>
        <v>35932.203389830516</v>
      </c>
      <c r="AE18" s="42">
        <f t="shared" si="75"/>
        <v>37457.627118644079</v>
      </c>
      <c r="AF18" s="42">
        <f t="shared" si="75"/>
        <v>38983.050847457642</v>
      </c>
      <c r="AG18" s="42">
        <f t="shared" si="75"/>
        <v>40508.474576271205</v>
      </c>
      <c r="AH18" s="42">
        <f t="shared" si="75"/>
        <v>42033.898305084767</v>
      </c>
      <c r="AI18" s="42">
        <f t="shared" si="75"/>
        <v>43559.32203389833</v>
      </c>
      <c r="AJ18" s="42">
        <f t="shared" si="75"/>
        <v>45084.745762711893</v>
      </c>
      <c r="AK18" s="42">
        <f t="shared" si="75"/>
        <v>46610.169491525456</v>
      </c>
      <c r="AL18" s="42">
        <f t="shared" si="75"/>
        <v>48135.593220339018</v>
      </c>
      <c r="AM18" s="42">
        <f t="shared" si="75"/>
        <v>49661.016949152581</v>
      </c>
      <c r="AN18" s="42">
        <f t="shared" si="75"/>
        <v>51186.440677966144</v>
      </c>
      <c r="AO18" s="42">
        <f t="shared" si="75"/>
        <v>52711.864406779707</v>
      </c>
      <c r="AP18" s="42">
        <f t="shared" si="75"/>
        <v>54237.28813559327</v>
      </c>
      <c r="AQ18" s="42">
        <f t="shared" si="75"/>
        <v>55762.711864406832</v>
      </c>
      <c r="AR18" s="42">
        <f t="shared" si="75"/>
        <v>57288.135593220395</v>
      </c>
      <c r="AS18" s="42">
        <f t="shared" si="75"/>
        <v>58813.559322033958</v>
      </c>
      <c r="AT18" s="42">
        <f t="shared" si="75"/>
        <v>60338.983050847521</v>
      </c>
      <c r="AU18" s="42">
        <f t="shared" si="75"/>
        <v>61864.406779661083</v>
      </c>
      <c r="AV18" s="42">
        <f t="shared" si="75"/>
        <v>63389.830508474646</v>
      </c>
      <c r="AW18" s="42">
        <f t="shared" si="75"/>
        <v>64915.254237288209</v>
      </c>
      <c r="AX18" s="42">
        <f t="shared" si="75"/>
        <v>66440.677966101764</v>
      </c>
      <c r="AY18" s="42">
        <f t="shared" si="75"/>
        <v>67966.101694915327</v>
      </c>
      <c r="AZ18" s="42">
        <f t="shared" si="75"/>
        <v>69491.52542372889</v>
      </c>
      <c r="BA18" s="42">
        <f t="shared" si="75"/>
        <v>71016.949152542453</v>
      </c>
      <c r="BB18" s="42">
        <f t="shared" si="75"/>
        <v>72542.372881356016</v>
      </c>
      <c r="BC18" s="42">
        <f t="shared" si="75"/>
        <v>74067.796610169578</v>
      </c>
      <c r="BD18" s="42">
        <f t="shared" si="75"/>
        <v>75593.220338983141</v>
      </c>
      <c r="BE18" s="42">
        <f t="shared" si="75"/>
        <v>77118.644067796704</v>
      </c>
      <c r="BF18" s="42">
        <f t="shared" si="75"/>
        <v>78644.067796610267</v>
      </c>
      <c r="BG18" s="42">
        <f t="shared" si="75"/>
        <v>80169.491525423829</v>
      </c>
      <c r="BH18" s="42">
        <f t="shared" si="75"/>
        <v>81694.915254237392</v>
      </c>
      <c r="BI18" s="42">
        <f t="shared" si="75"/>
        <v>83220.338983050955</v>
      </c>
      <c r="BJ18" s="42">
        <f t="shared" si="75"/>
        <v>84745.762711864518</v>
      </c>
      <c r="BK18" s="42">
        <f t="shared" si="75"/>
        <v>86271.186440678081</v>
      </c>
      <c r="BL18" s="42">
        <f t="shared" si="75"/>
        <v>87796.610169491643</v>
      </c>
      <c r="BM18" s="42">
        <f t="shared" si="75"/>
        <v>89322.033898305206</v>
      </c>
      <c r="BN18" s="42">
        <f t="shared" si="75"/>
        <v>90847.457627118769</v>
      </c>
      <c r="BO18" s="42">
        <f t="shared" si="75"/>
        <v>92372.881355932332</v>
      </c>
      <c r="BP18" s="42">
        <f t="shared" si="75"/>
        <v>93898.305084745894</v>
      </c>
      <c r="BQ18" s="42">
        <f t="shared" si="75"/>
        <v>95423.728813559457</v>
      </c>
      <c r="BR18" s="42">
        <f t="shared" si="75"/>
        <v>96949.15254237302</v>
      </c>
      <c r="BS18" s="42">
        <f t="shared" si="75"/>
        <v>98474.576271186583</v>
      </c>
      <c r="BT18" s="42">
        <f t="shared" si="75"/>
        <v>100000.00000000015</v>
      </c>
      <c r="BU18" s="17"/>
      <c r="BV18" s="24">
        <f t="shared" ref="BV18:BV19" si="76">SUMIF($M$3:$BT$3,BV$3,$M18:$BT18)</f>
        <v>220677.96610169491</v>
      </c>
      <c r="BW18" s="24">
        <f t="shared" si="73"/>
        <v>440338.9830508476</v>
      </c>
      <c r="BX18" s="24">
        <f t="shared" si="73"/>
        <v>660000.00000000058</v>
      </c>
      <c r="BY18" s="24">
        <f t="shared" si="73"/>
        <v>879661.01694915362</v>
      </c>
      <c r="BZ18" s="24">
        <f t="shared" si="73"/>
        <v>1099322.0338983065</v>
      </c>
    </row>
    <row r="19" spans="1:78" x14ac:dyDescent="0.3">
      <c r="A19" t="s">
        <v>40</v>
      </c>
      <c r="F19" s="25" t="s">
        <v>59</v>
      </c>
      <c r="G19" s="42">
        <f>30*86</f>
        <v>2580</v>
      </c>
      <c r="H19" s="43">
        <f t="shared" ref="H19" si="77">G19*5</f>
        <v>12900</v>
      </c>
      <c r="M19" s="42">
        <f t="shared" si="74"/>
        <v>2580</v>
      </c>
      <c r="N19" s="42">
        <f t="shared" ref="N19:BT21" si="78">M19+($H19-$G19)/COUNT($N$4:$BT$4)</f>
        <v>2754.9152542372881</v>
      </c>
      <c r="O19" s="42">
        <f t="shared" si="78"/>
        <v>2929.8305084745762</v>
      </c>
      <c r="P19" s="42">
        <f t="shared" si="78"/>
        <v>3104.7457627118642</v>
      </c>
      <c r="Q19" s="42">
        <f t="shared" si="78"/>
        <v>3279.6610169491523</v>
      </c>
      <c r="R19" s="42">
        <f t="shared" si="78"/>
        <v>3454.5762711864404</v>
      </c>
      <c r="S19" s="42">
        <f t="shared" si="78"/>
        <v>3629.4915254237285</v>
      </c>
      <c r="T19" s="42">
        <f t="shared" si="78"/>
        <v>3804.4067796610166</v>
      </c>
      <c r="U19" s="42">
        <f t="shared" si="78"/>
        <v>3979.3220338983047</v>
      </c>
      <c r="V19" s="42">
        <f t="shared" si="78"/>
        <v>4154.2372881355932</v>
      </c>
      <c r="W19" s="42">
        <f t="shared" si="78"/>
        <v>4329.1525423728817</v>
      </c>
      <c r="X19" s="42">
        <f t="shared" si="78"/>
        <v>4504.0677966101703</v>
      </c>
      <c r="Y19" s="42">
        <f t="shared" si="78"/>
        <v>4678.9830508474588</v>
      </c>
      <c r="Z19" s="42">
        <f t="shared" si="78"/>
        <v>4853.8983050847473</v>
      </c>
      <c r="AA19" s="42">
        <f t="shared" si="78"/>
        <v>5028.8135593220359</v>
      </c>
      <c r="AB19" s="42">
        <f t="shared" si="78"/>
        <v>5203.7288135593244</v>
      </c>
      <c r="AC19" s="42">
        <f t="shared" si="78"/>
        <v>5378.6440677966129</v>
      </c>
      <c r="AD19" s="42">
        <f t="shared" si="78"/>
        <v>5553.5593220339015</v>
      </c>
      <c r="AE19" s="42">
        <f t="shared" si="78"/>
        <v>5728.47457627119</v>
      </c>
      <c r="AF19" s="42">
        <f t="shared" si="78"/>
        <v>5903.3898305084786</v>
      </c>
      <c r="AG19" s="42">
        <f t="shared" si="78"/>
        <v>6078.3050847457671</v>
      </c>
      <c r="AH19" s="42">
        <f t="shared" si="78"/>
        <v>6253.2203389830556</v>
      </c>
      <c r="AI19" s="42">
        <f t="shared" si="78"/>
        <v>6428.1355932203442</v>
      </c>
      <c r="AJ19" s="42">
        <f t="shared" si="78"/>
        <v>6603.0508474576327</v>
      </c>
      <c r="AK19" s="42">
        <f t="shared" si="78"/>
        <v>6777.9661016949212</v>
      </c>
      <c r="AL19" s="42">
        <f t="shared" si="78"/>
        <v>6952.8813559322098</v>
      </c>
      <c r="AM19" s="42">
        <f t="shared" si="78"/>
        <v>7127.7966101694983</v>
      </c>
      <c r="AN19" s="42">
        <f t="shared" si="78"/>
        <v>7302.7118644067868</v>
      </c>
      <c r="AO19" s="42">
        <f t="shared" si="78"/>
        <v>7477.6271186440754</v>
      </c>
      <c r="AP19" s="42">
        <f t="shared" si="78"/>
        <v>7652.5423728813639</v>
      </c>
      <c r="AQ19" s="42">
        <f t="shared" si="78"/>
        <v>7827.4576271186525</v>
      </c>
      <c r="AR19" s="42">
        <f t="shared" si="78"/>
        <v>8002.372881355941</v>
      </c>
      <c r="AS19" s="42">
        <f t="shared" si="78"/>
        <v>8177.2881355932295</v>
      </c>
      <c r="AT19" s="42">
        <f t="shared" si="78"/>
        <v>8352.2033898305181</v>
      </c>
      <c r="AU19" s="42">
        <f t="shared" si="78"/>
        <v>8527.1186440678066</v>
      </c>
      <c r="AV19" s="42">
        <f t="shared" si="78"/>
        <v>8702.0338983050951</v>
      </c>
      <c r="AW19" s="42">
        <f t="shared" si="78"/>
        <v>8876.9491525423837</v>
      </c>
      <c r="AX19" s="42">
        <f t="shared" si="78"/>
        <v>9051.8644067796722</v>
      </c>
      <c r="AY19" s="42">
        <f t="shared" si="78"/>
        <v>9226.7796610169607</v>
      </c>
      <c r="AZ19" s="42">
        <f t="shared" si="78"/>
        <v>9401.6949152542493</v>
      </c>
      <c r="BA19" s="42">
        <f t="shared" si="78"/>
        <v>9576.6101694915378</v>
      </c>
      <c r="BB19" s="42">
        <f t="shared" si="78"/>
        <v>9751.5254237288264</v>
      </c>
      <c r="BC19" s="42">
        <f t="shared" si="78"/>
        <v>9926.4406779661149</v>
      </c>
      <c r="BD19" s="42">
        <f t="shared" si="78"/>
        <v>10101.355932203403</v>
      </c>
      <c r="BE19" s="42">
        <f t="shared" si="78"/>
        <v>10276.271186440692</v>
      </c>
      <c r="BF19" s="42">
        <f t="shared" si="78"/>
        <v>10451.18644067798</v>
      </c>
      <c r="BG19" s="42">
        <f t="shared" si="78"/>
        <v>10626.101694915269</v>
      </c>
      <c r="BH19" s="42">
        <f t="shared" si="78"/>
        <v>10801.016949152558</v>
      </c>
      <c r="BI19" s="42">
        <f t="shared" si="78"/>
        <v>10975.932203389846</v>
      </c>
      <c r="BJ19" s="42">
        <f t="shared" si="78"/>
        <v>11150.847457627135</v>
      </c>
      <c r="BK19" s="42">
        <f t="shared" si="78"/>
        <v>11325.762711864423</v>
      </c>
      <c r="BL19" s="42">
        <f t="shared" si="78"/>
        <v>11500.677966101712</v>
      </c>
      <c r="BM19" s="42">
        <f t="shared" si="78"/>
        <v>11675.593220339</v>
      </c>
      <c r="BN19" s="42">
        <f t="shared" si="78"/>
        <v>11850.508474576289</v>
      </c>
      <c r="BO19" s="42">
        <f t="shared" si="78"/>
        <v>12025.423728813577</v>
      </c>
      <c r="BP19" s="42">
        <f t="shared" si="78"/>
        <v>12200.338983050866</v>
      </c>
      <c r="BQ19" s="42">
        <f t="shared" si="78"/>
        <v>12375.254237288154</v>
      </c>
      <c r="BR19" s="42">
        <f t="shared" si="78"/>
        <v>12550.169491525443</v>
      </c>
      <c r="BS19" s="42">
        <f t="shared" si="78"/>
        <v>12725.084745762731</v>
      </c>
      <c r="BT19" s="42">
        <f t="shared" si="78"/>
        <v>12900.00000000002</v>
      </c>
      <c r="BU19" s="17"/>
      <c r="BV19" s="24">
        <f t="shared" si="76"/>
        <v>42504.406779661018</v>
      </c>
      <c r="BW19" s="24">
        <f t="shared" si="73"/>
        <v>67692.203389830553</v>
      </c>
      <c r="BX19" s="24">
        <f t="shared" si="73"/>
        <v>92880.000000000116</v>
      </c>
      <c r="BY19" s="24">
        <f t="shared" si="73"/>
        <v>118067.79661016964</v>
      </c>
      <c r="BZ19" s="24">
        <f t="shared" si="73"/>
        <v>143255.59322033921</v>
      </c>
    </row>
    <row r="20" spans="1:78" x14ac:dyDescent="0.3">
      <c r="A20" s="41" t="s">
        <v>42</v>
      </c>
      <c r="BU20" s="17"/>
    </row>
    <row r="21" spans="1:78" x14ac:dyDescent="0.3">
      <c r="A21" t="s">
        <v>43</v>
      </c>
      <c r="F21" s="25" t="s">
        <v>62</v>
      </c>
      <c r="G21" s="46">
        <v>1.4999999999999999E-2</v>
      </c>
      <c r="H21" s="46">
        <f>G21</f>
        <v>1.4999999999999999E-2</v>
      </c>
      <c r="M21" s="45">
        <f t="shared" ref="M21" si="79">G21</f>
        <v>1.4999999999999999E-2</v>
      </c>
      <c r="N21" s="45">
        <f t="shared" si="78"/>
        <v>1.4999999999999999E-2</v>
      </c>
      <c r="O21" s="45">
        <f t="shared" si="78"/>
        <v>1.4999999999999999E-2</v>
      </c>
      <c r="P21" s="45">
        <f t="shared" si="78"/>
        <v>1.4999999999999999E-2</v>
      </c>
      <c r="Q21" s="45">
        <f t="shared" si="78"/>
        <v>1.4999999999999999E-2</v>
      </c>
      <c r="R21" s="45">
        <f t="shared" si="78"/>
        <v>1.4999999999999999E-2</v>
      </c>
      <c r="S21" s="45">
        <f t="shared" si="78"/>
        <v>1.4999999999999999E-2</v>
      </c>
      <c r="T21" s="45">
        <f t="shared" si="78"/>
        <v>1.4999999999999999E-2</v>
      </c>
      <c r="U21" s="45">
        <f t="shared" si="78"/>
        <v>1.4999999999999999E-2</v>
      </c>
      <c r="V21" s="45">
        <f t="shared" si="78"/>
        <v>1.4999999999999999E-2</v>
      </c>
      <c r="W21" s="45">
        <f t="shared" si="78"/>
        <v>1.4999999999999999E-2</v>
      </c>
      <c r="X21" s="45">
        <f t="shared" si="78"/>
        <v>1.4999999999999999E-2</v>
      </c>
      <c r="Y21" s="45">
        <f t="shared" si="78"/>
        <v>1.4999999999999999E-2</v>
      </c>
      <c r="Z21" s="45">
        <f t="shared" si="78"/>
        <v>1.4999999999999999E-2</v>
      </c>
      <c r="AA21" s="45">
        <f t="shared" si="78"/>
        <v>1.4999999999999999E-2</v>
      </c>
      <c r="AB21" s="45">
        <f t="shared" si="78"/>
        <v>1.4999999999999999E-2</v>
      </c>
      <c r="AC21" s="45">
        <f t="shared" si="78"/>
        <v>1.4999999999999999E-2</v>
      </c>
      <c r="AD21" s="45">
        <f t="shared" si="78"/>
        <v>1.4999999999999999E-2</v>
      </c>
      <c r="AE21" s="45">
        <f t="shared" si="78"/>
        <v>1.4999999999999999E-2</v>
      </c>
      <c r="AF21" s="45">
        <f t="shared" si="78"/>
        <v>1.4999999999999999E-2</v>
      </c>
      <c r="AG21" s="45">
        <f t="shared" si="78"/>
        <v>1.4999999999999999E-2</v>
      </c>
      <c r="AH21" s="45">
        <f t="shared" si="78"/>
        <v>1.4999999999999999E-2</v>
      </c>
      <c r="AI21" s="45">
        <f t="shared" si="78"/>
        <v>1.4999999999999999E-2</v>
      </c>
      <c r="AJ21" s="45">
        <f t="shared" si="78"/>
        <v>1.4999999999999999E-2</v>
      </c>
      <c r="AK21" s="45">
        <f t="shared" si="78"/>
        <v>1.4999999999999999E-2</v>
      </c>
      <c r="AL21" s="45">
        <f t="shared" si="78"/>
        <v>1.4999999999999999E-2</v>
      </c>
      <c r="AM21" s="45">
        <f t="shared" si="78"/>
        <v>1.4999999999999999E-2</v>
      </c>
      <c r="AN21" s="45">
        <f t="shared" si="78"/>
        <v>1.4999999999999999E-2</v>
      </c>
      <c r="AO21" s="45">
        <f t="shared" si="78"/>
        <v>1.4999999999999999E-2</v>
      </c>
      <c r="AP21" s="45">
        <f t="shared" si="78"/>
        <v>1.4999999999999999E-2</v>
      </c>
      <c r="AQ21" s="45">
        <f t="shared" si="78"/>
        <v>1.4999999999999999E-2</v>
      </c>
      <c r="AR21" s="45">
        <f t="shared" si="78"/>
        <v>1.4999999999999999E-2</v>
      </c>
      <c r="AS21" s="45">
        <f t="shared" si="78"/>
        <v>1.4999999999999999E-2</v>
      </c>
      <c r="AT21" s="45">
        <f t="shared" si="78"/>
        <v>1.4999999999999999E-2</v>
      </c>
      <c r="AU21" s="45">
        <f t="shared" si="78"/>
        <v>1.4999999999999999E-2</v>
      </c>
      <c r="AV21" s="45">
        <f t="shared" si="78"/>
        <v>1.4999999999999999E-2</v>
      </c>
      <c r="AW21" s="45">
        <f t="shared" si="78"/>
        <v>1.4999999999999999E-2</v>
      </c>
      <c r="AX21" s="45">
        <f t="shared" si="78"/>
        <v>1.4999999999999999E-2</v>
      </c>
      <c r="AY21" s="45">
        <f t="shared" si="78"/>
        <v>1.4999999999999999E-2</v>
      </c>
      <c r="AZ21" s="45">
        <f t="shared" si="78"/>
        <v>1.4999999999999999E-2</v>
      </c>
      <c r="BA21" s="45">
        <f t="shared" si="78"/>
        <v>1.4999999999999999E-2</v>
      </c>
      <c r="BB21" s="45">
        <f t="shared" si="78"/>
        <v>1.4999999999999999E-2</v>
      </c>
      <c r="BC21" s="45">
        <f t="shared" si="78"/>
        <v>1.4999999999999999E-2</v>
      </c>
      <c r="BD21" s="45">
        <f t="shared" si="78"/>
        <v>1.4999999999999999E-2</v>
      </c>
      <c r="BE21" s="45">
        <f t="shared" si="78"/>
        <v>1.4999999999999999E-2</v>
      </c>
      <c r="BF21" s="45">
        <f t="shared" si="78"/>
        <v>1.4999999999999999E-2</v>
      </c>
      <c r="BG21" s="45">
        <f t="shared" si="78"/>
        <v>1.4999999999999999E-2</v>
      </c>
      <c r="BH21" s="45">
        <f t="shared" si="78"/>
        <v>1.4999999999999999E-2</v>
      </c>
      <c r="BI21" s="45">
        <f t="shared" si="78"/>
        <v>1.4999999999999999E-2</v>
      </c>
      <c r="BJ21" s="45">
        <f t="shared" si="78"/>
        <v>1.4999999999999999E-2</v>
      </c>
      <c r="BK21" s="45">
        <f t="shared" si="78"/>
        <v>1.4999999999999999E-2</v>
      </c>
      <c r="BL21" s="45">
        <f t="shared" si="78"/>
        <v>1.4999999999999999E-2</v>
      </c>
      <c r="BM21" s="45">
        <f t="shared" si="78"/>
        <v>1.4999999999999999E-2</v>
      </c>
      <c r="BN21" s="45">
        <f t="shared" si="78"/>
        <v>1.4999999999999999E-2</v>
      </c>
      <c r="BO21" s="45">
        <f t="shared" si="78"/>
        <v>1.4999999999999999E-2</v>
      </c>
      <c r="BP21" s="45">
        <f t="shared" si="78"/>
        <v>1.4999999999999999E-2</v>
      </c>
      <c r="BQ21" s="45">
        <f t="shared" si="78"/>
        <v>1.4999999999999999E-2</v>
      </c>
      <c r="BR21" s="45">
        <f t="shared" si="78"/>
        <v>1.4999999999999999E-2</v>
      </c>
      <c r="BS21" s="45">
        <f t="shared" si="78"/>
        <v>1.4999999999999999E-2</v>
      </c>
      <c r="BT21" s="45">
        <f t="shared" si="78"/>
        <v>1.4999999999999999E-2</v>
      </c>
      <c r="BU21" s="17"/>
    </row>
    <row r="22" spans="1:78" x14ac:dyDescent="0.3">
      <c r="A22" t="s">
        <v>46</v>
      </c>
      <c r="F22" s="25" t="s">
        <v>59</v>
      </c>
      <c r="G22" s="42">
        <v>5000</v>
      </c>
      <c r="H22" s="42">
        <f>G22*5</f>
        <v>25000</v>
      </c>
      <c r="M22" s="42">
        <f t="shared" ref="M22" si="80">G22</f>
        <v>5000</v>
      </c>
      <c r="N22" s="42">
        <f t="shared" ref="N22:BT24" si="81">M22+($H22-$G22)/COUNT($N$4:$BT$4)</f>
        <v>5338.9830508474579</v>
      </c>
      <c r="O22" s="42">
        <f t="shared" si="81"/>
        <v>5677.9661016949158</v>
      </c>
      <c r="P22" s="42">
        <f t="shared" si="81"/>
        <v>6016.9491525423737</v>
      </c>
      <c r="Q22" s="42">
        <f t="shared" si="81"/>
        <v>6355.9322033898316</v>
      </c>
      <c r="R22" s="42">
        <f t="shared" si="81"/>
        <v>6694.9152542372894</v>
      </c>
      <c r="S22" s="42">
        <f t="shared" si="81"/>
        <v>7033.8983050847473</v>
      </c>
      <c r="T22" s="42">
        <f t="shared" si="81"/>
        <v>7372.8813559322052</v>
      </c>
      <c r="U22" s="42">
        <f t="shared" si="81"/>
        <v>7711.8644067796631</v>
      </c>
      <c r="V22" s="42">
        <f t="shared" si="81"/>
        <v>8050.847457627121</v>
      </c>
      <c r="W22" s="42">
        <f t="shared" si="81"/>
        <v>8389.8305084745789</v>
      </c>
      <c r="X22" s="42">
        <f t="shared" si="81"/>
        <v>8728.8135593220359</v>
      </c>
      <c r="Y22" s="42">
        <f t="shared" si="81"/>
        <v>9067.7966101694929</v>
      </c>
      <c r="Z22" s="42">
        <f t="shared" si="81"/>
        <v>9406.7796610169498</v>
      </c>
      <c r="AA22" s="42">
        <f t="shared" si="81"/>
        <v>9745.7627118644068</v>
      </c>
      <c r="AB22" s="42">
        <f t="shared" si="81"/>
        <v>10084.745762711864</v>
      </c>
      <c r="AC22" s="42">
        <f t="shared" si="81"/>
        <v>10423.728813559321</v>
      </c>
      <c r="AD22" s="42">
        <f t="shared" si="81"/>
        <v>10762.711864406778</v>
      </c>
      <c r="AE22" s="42">
        <f t="shared" si="81"/>
        <v>11101.694915254235</v>
      </c>
      <c r="AF22" s="42">
        <f t="shared" si="81"/>
        <v>11440.677966101692</v>
      </c>
      <c r="AG22" s="42">
        <f t="shared" si="81"/>
        <v>11779.661016949149</v>
      </c>
      <c r="AH22" s="42">
        <f t="shared" si="81"/>
        <v>12118.644067796606</v>
      </c>
      <c r="AI22" s="42">
        <f t="shared" si="81"/>
        <v>12457.627118644063</v>
      </c>
      <c r="AJ22" s="42">
        <f t="shared" si="81"/>
        <v>12796.61016949152</v>
      </c>
      <c r="AK22" s="42">
        <f t="shared" si="81"/>
        <v>13135.593220338977</v>
      </c>
      <c r="AL22" s="42">
        <f t="shared" si="81"/>
        <v>13474.576271186434</v>
      </c>
      <c r="AM22" s="42">
        <f t="shared" si="81"/>
        <v>13813.559322033891</v>
      </c>
      <c r="AN22" s="42">
        <f t="shared" si="81"/>
        <v>14152.542372881348</v>
      </c>
      <c r="AO22" s="42">
        <f t="shared" si="81"/>
        <v>14491.525423728805</v>
      </c>
      <c r="AP22" s="42">
        <f t="shared" si="81"/>
        <v>14830.508474576262</v>
      </c>
      <c r="AQ22" s="42">
        <f t="shared" si="81"/>
        <v>15169.491525423718</v>
      </c>
      <c r="AR22" s="42">
        <f t="shared" si="81"/>
        <v>15508.474576271175</v>
      </c>
      <c r="AS22" s="42">
        <f t="shared" si="81"/>
        <v>15847.457627118632</v>
      </c>
      <c r="AT22" s="42">
        <f t="shared" si="81"/>
        <v>16186.440677966089</v>
      </c>
      <c r="AU22" s="42">
        <f t="shared" si="81"/>
        <v>16525.423728813548</v>
      </c>
      <c r="AV22" s="42">
        <f t="shared" si="81"/>
        <v>16864.406779661007</v>
      </c>
      <c r="AW22" s="42">
        <f t="shared" si="81"/>
        <v>17203.389830508466</v>
      </c>
      <c r="AX22" s="42">
        <f t="shared" si="81"/>
        <v>17542.372881355925</v>
      </c>
      <c r="AY22" s="42">
        <f t="shared" si="81"/>
        <v>17881.355932203383</v>
      </c>
      <c r="AZ22" s="42">
        <f t="shared" si="81"/>
        <v>18220.338983050842</v>
      </c>
      <c r="BA22" s="42">
        <f t="shared" si="81"/>
        <v>18559.322033898301</v>
      </c>
      <c r="BB22" s="42">
        <f t="shared" si="81"/>
        <v>18898.30508474576</v>
      </c>
      <c r="BC22" s="42">
        <f t="shared" si="81"/>
        <v>19237.288135593219</v>
      </c>
      <c r="BD22" s="42">
        <f t="shared" si="81"/>
        <v>19576.271186440677</v>
      </c>
      <c r="BE22" s="42">
        <f t="shared" si="81"/>
        <v>19915.254237288136</v>
      </c>
      <c r="BF22" s="42">
        <f t="shared" si="81"/>
        <v>20254.237288135595</v>
      </c>
      <c r="BG22" s="42">
        <f t="shared" si="81"/>
        <v>20593.220338983054</v>
      </c>
      <c r="BH22" s="42">
        <f t="shared" si="81"/>
        <v>20932.203389830513</v>
      </c>
      <c r="BI22" s="42">
        <f t="shared" si="81"/>
        <v>21271.186440677971</v>
      </c>
      <c r="BJ22" s="42">
        <f t="shared" si="81"/>
        <v>21610.16949152543</v>
      </c>
      <c r="BK22" s="42">
        <f t="shared" si="81"/>
        <v>21949.152542372889</v>
      </c>
      <c r="BL22" s="42">
        <f t="shared" si="81"/>
        <v>22288.135593220348</v>
      </c>
      <c r="BM22" s="42">
        <f t="shared" si="81"/>
        <v>22627.118644067807</v>
      </c>
      <c r="BN22" s="42">
        <f t="shared" si="81"/>
        <v>22966.101694915265</v>
      </c>
      <c r="BO22" s="42">
        <f t="shared" si="81"/>
        <v>23305.084745762724</v>
      </c>
      <c r="BP22" s="42">
        <f t="shared" si="81"/>
        <v>23644.067796610183</v>
      </c>
      <c r="BQ22" s="42">
        <f t="shared" si="81"/>
        <v>23983.050847457642</v>
      </c>
      <c r="BR22" s="42">
        <f t="shared" si="81"/>
        <v>24322.033898305101</v>
      </c>
      <c r="BS22" s="42">
        <f t="shared" si="81"/>
        <v>24661.016949152559</v>
      </c>
      <c r="BT22" s="42">
        <f t="shared" si="81"/>
        <v>25000.000000000018</v>
      </c>
      <c r="BU22" s="17"/>
      <c r="BV22" s="24">
        <f t="shared" ref="BV22:BZ22" si="82">SUMIF($M$3:$BT$3,BV$3,$M22:$BT22)</f>
        <v>82372.881355932215</v>
      </c>
      <c r="BW22" s="24">
        <f t="shared" si="82"/>
        <v>131186.44067796608</v>
      </c>
      <c r="BX22" s="24">
        <f t="shared" si="82"/>
        <v>179999.99999999988</v>
      </c>
      <c r="BY22" s="24">
        <f t="shared" si="82"/>
        <v>228813.55932203389</v>
      </c>
      <c r="BZ22" s="24">
        <f t="shared" si="82"/>
        <v>277627.1186440679</v>
      </c>
    </row>
    <row r="23" spans="1:78" x14ac:dyDescent="0.3">
      <c r="A23" s="29" t="s">
        <v>60</v>
      </c>
      <c r="BU23" s="17"/>
      <c r="BW23" t="s">
        <v>162</v>
      </c>
    </row>
    <row r="24" spans="1:78" x14ac:dyDescent="0.3">
      <c r="A24" t="s">
        <v>61</v>
      </c>
      <c r="F24" s="25" t="s">
        <v>63</v>
      </c>
      <c r="G24" s="27">
        <v>40</v>
      </c>
      <c r="H24" s="27">
        <v>40</v>
      </c>
      <c r="M24" s="42">
        <f t="shared" ref="M24" si="83">G24</f>
        <v>40</v>
      </c>
      <c r="N24" s="42">
        <f t="shared" si="81"/>
        <v>40</v>
      </c>
      <c r="O24" s="42">
        <f t="shared" si="81"/>
        <v>40</v>
      </c>
      <c r="P24" s="42">
        <f t="shared" si="81"/>
        <v>40</v>
      </c>
      <c r="Q24" s="42">
        <f t="shared" si="81"/>
        <v>40</v>
      </c>
      <c r="R24" s="42">
        <f t="shared" si="81"/>
        <v>40</v>
      </c>
      <c r="S24" s="42">
        <f t="shared" si="81"/>
        <v>40</v>
      </c>
      <c r="T24" s="42">
        <f t="shared" si="81"/>
        <v>40</v>
      </c>
      <c r="U24" s="42">
        <f t="shared" si="81"/>
        <v>40</v>
      </c>
      <c r="V24" s="42">
        <f t="shared" si="81"/>
        <v>40</v>
      </c>
      <c r="W24" s="42">
        <f t="shared" si="81"/>
        <v>40</v>
      </c>
      <c r="X24" s="42">
        <f t="shared" si="81"/>
        <v>40</v>
      </c>
      <c r="Y24" s="42">
        <f t="shared" si="81"/>
        <v>40</v>
      </c>
      <c r="Z24" s="42">
        <f t="shared" si="81"/>
        <v>40</v>
      </c>
      <c r="AA24" s="42">
        <f t="shared" si="81"/>
        <v>40</v>
      </c>
      <c r="AB24" s="42">
        <f t="shared" si="81"/>
        <v>40</v>
      </c>
      <c r="AC24" s="42">
        <f t="shared" si="81"/>
        <v>40</v>
      </c>
      <c r="AD24" s="42">
        <f t="shared" si="81"/>
        <v>40</v>
      </c>
      <c r="AE24" s="42">
        <f t="shared" si="81"/>
        <v>40</v>
      </c>
      <c r="AF24" s="42">
        <f t="shared" si="81"/>
        <v>40</v>
      </c>
      <c r="AG24" s="42">
        <f t="shared" si="81"/>
        <v>40</v>
      </c>
      <c r="AH24" s="42">
        <f t="shared" si="81"/>
        <v>40</v>
      </c>
      <c r="AI24" s="42">
        <f t="shared" si="81"/>
        <v>40</v>
      </c>
      <c r="AJ24" s="42">
        <f t="shared" si="81"/>
        <v>40</v>
      </c>
      <c r="AK24" s="42">
        <f t="shared" si="81"/>
        <v>40</v>
      </c>
      <c r="AL24" s="42">
        <f t="shared" si="81"/>
        <v>40</v>
      </c>
      <c r="AM24" s="42">
        <f t="shared" si="81"/>
        <v>40</v>
      </c>
      <c r="AN24" s="42">
        <f t="shared" si="81"/>
        <v>40</v>
      </c>
      <c r="AO24" s="42">
        <f t="shared" si="81"/>
        <v>40</v>
      </c>
      <c r="AP24" s="42">
        <f t="shared" si="81"/>
        <v>40</v>
      </c>
      <c r="AQ24" s="42">
        <f t="shared" si="81"/>
        <v>40</v>
      </c>
      <c r="AR24" s="42">
        <f t="shared" si="81"/>
        <v>40</v>
      </c>
      <c r="AS24" s="42">
        <f t="shared" si="81"/>
        <v>40</v>
      </c>
      <c r="AT24" s="42">
        <f t="shared" si="81"/>
        <v>40</v>
      </c>
      <c r="AU24" s="42">
        <f t="shared" si="81"/>
        <v>40</v>
      </c>
      <c r="AV24" s="42">
        <f t="shared" si="81"/>
        <v>40</v>
      </c>
      <c r="AW24" s="42">
        <f t="shared" si="81"/>
        <v>40</v>
      </c>
      <c r="AX24" s="42">
        <f t="shared" si="81"/>
        <v>40</v>
      </c>
      <c r="AY24" s="42">
        <f t="shared" si="81"/>
        <v>40</v>
      </c>
      <c r="AZ24" s="42">
        <f t="shared" si="81"/>
        <v>40</v>
      </c>
      <c r="BA24" s="42">
        <f t="shared" si="81"/>
        <v>40</v>
      </c>
      <c r="BB24" s="42">
        <f t="shared" si="81"/>
        <v>40</v>
      </c>
      <c r="BC24" s="42">
        <f t="shared" si="81"/>
        <v>40</v>
      </c>
      <c r="BD24" s="42">
        <f t="shared" si="81"/>
        <v>40</v>
      </c>
      <c r="BE24" s="42">
        <f t="shared" si="81"/>
        <v>40</v>
      </c>
      <c r="BF24" s="42">
        <f t="shared" si="81"/>
        <v>40</v>
      </c>
      <c r="BG24" s="42">
        <f t="shared" si="81"/>
        <v>40</v>
      </c>
      <c r="BH24" s="42">
        <f t="shared" si="81"/>
        <v>40</v>
      </c>
      <c r="BI24" s="42">
        <f t="shared" si="81"/>
        <v>40</v>
      </c>
      <c r="BJ24" s="42">
        <f t="shared" si="81"/>
        <v>40</v>
      </c>
      <c r="BK24" s="42">
        <f t="shared" si="81"/>
        <v>40</v>
      </c>
      <c r="BL24" s="42">
        <f t="shared" si="81"/>
        <v>40</v>
      </c>
      <c r="BM24" s="42">
        <f t="shared" si="81"/>
        <v>40</v>
      </c>
      <c r="BN24" s="42">
        <f t="shared" si="81"/>
        <v>40</v>
      </c>
      <c r="BO24" s="42">
        <f t="shared" si="81"/>
        <v>40</v>
      </c>
      <c r="BP24" s="42">
        <f t="shared" si="81"/>
        <v>40</v>
      </c>
      <c r="BQ24" s="42">
        <f t="shared" si="81"/>
        <v>40</v>
      </c>
      <c r="BR24" s="42">
        <f t="shared" si="81"/>
        <v>40</v>
      </c>
      <c r="BS24" s="42">
        <f t="shared" si="81"/>
        <v>40</v>
      </c>
      <c r="BT24" s="42">
        <f t="shared" si="81"/>
        <v>40</v>
      </c>
      <c r="BU24" s="17"/>
    </row>
    <row r="25" spans="1:78" x14ac:dyDescent="0.3">
      <c r="A25" t="s">
        <v>61</v>
      </c>
      <c r="F25" s="25" t="s">
        <v>68</v>
      </c>
      <c r="G25" s="42">
        <v>40000</v>
      </c>
      <c r="H25" s="28">
        <v>0.15</v>
      </c>
      <c r="I25" t="s">
        <v>64</v>
      </c>
      <c r="BU25" s="17"/>
    </row>
    <row r="26" spans="1:78" x14ac:dyDescent="0.3">
      <c r="A26" s="52" t="s">
        <v>67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17"/>
      <c r="BV26" s="51"/>
      <c r="BW26" s="51"/>
      <c r="BX26" s="51"/>
      <c r="BY26" s="51"/>
      <c r="BZ26" s="51"/>
    </row>
    <row r="27" spans="1:78" x14ac:dyDescent="0.3">
      <c r="A27" s="114" t="s">
        <v>295</v>
      </c>
      <c r="B27" s="53"/>
      <c r="C27" s="54"/>
      <c r="D27" s="53"/>
      <c r="E27" s="55"/>
      <c r="F27" s="55"/>
      <c r="G27" s="55"/>
      <c r="H27" s="55"/>
      <c r="I27" s="55"/>
      <c r="J27" s="55"/>
      <c r="K27" s="55"/>
      <c r="L27" s="55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17"/>
      <c r="BV27" s="56"/>
      <c r="BW27" s="56"/>
      <c r="BX27" s="56"/>
      <c r="BY27" s="56"/>
      <c r="BZ27" s="56"/>
    </row>
    <row r="28" spans="1:78" x14ac:dyDescent="0.3">
      <c r="A28" s="29" t="s">
        <v>6</v>
      </c>
      <c r="BU28" s="17"/>
    </row>
    <row r="29" spans="1:78" x14ac:dyDescent="0.3">
      <c r="A29" t="s">
        <v>296</v>
      </c>
      <c r="L29" s="24"/>
      <c r="M29" s="42">
        <v>150000</v>
      </c>
      <c r="N29" s="42">
        <f>M29</f>
        <v>150000</v>
      </c>
      <c r="O29" s="42">
        <f>N29</f>
        <v>150000</v>
      </c>
      <c r="P29" s="61">
        <f>O29+100000</f>
        <v>250000</v>
      </c>
      <c r="Q29" s="42">
        <f>P29</f>
        <v>250000</v>
      </c>
      <c r="R29" s="42">
        <f>Q29</f>
        <v>250000</v>
      </c>
      <c r="S29" s="61">
        <f>R29*2</f>
        <v>500000</v>
      </c>
      <c r="T29" s="42">
        <f>S29</f>
        <v>500000</v>
      </c>
      <c r="U29" s="42">
        <f>T29</f>
        <v>500000</v>
      </c>
      <c r="V29" s="61">
        <f>U29+250000</f>
        <v>750000</v>
      </c>
      <c r="W29" s="42">
        <f>V29</f>
        <v>750000</v>
      </c>
      <c r="X29" s="42">
        <f>W29</f>
        <v>750000</v>
      </c>
      <c r="Y29" s="61">
        <f>X29+100000</f>
        <v>850000</v>
      </c>
      <c r="Z29" s="42">
        <f>Y29</f>
        <v>850000</v>
      </c>
      <c r="AA29" s="42">
        <f>Z29</f>
        <v>850000</v>
      </c>
      <c r="AB29" s="61">
        <f>AA29+150000</f>
        <v>1000000</v>
      </c>
      <c r="AC29" s="42">
        <f>AB29</f>
        <v>1000000</v>
      </c>
      <c r="AD29" s="42">
        <f>AC29</f>
        <v>1000000</v>
      </c>
      <c r="AE29" s="61">
        <f>AD29*2</f>
        <v>2000000</v>
      </c>
      <c r="AF29" s="42">
        <f>AE29</f>
        <v>2000000</v>
      </c>
      <c r="AG29" s="42">
        <f>AF29</f>
        <v>2000000</v>
      </c>
      <c r="AH29" s="61">
        <f>AG29+200000</f>
        <v>2200000</v>
      </c>
      <c r="AI29" s="42">
        <f>AH29</f>
        <v>2200000</v>
      </c>
      <c r="AJ29" s="42">
        <f>AI29</f>
        <v>2200000</v>
      </c>
      <c r="AK29" s="61">
        <f>AJ29+100000</f>
        <v>2300000</v>
      </c>
      <c r="AL29" s="42">
        <f>AK29</f>
        <v>2300000</v>
      </c>
      <c r="AM29" s="42">
        <f>AL29</f>
        <v>2300000</v>
      </c>
      <c r="AN29" s="61">
        <f>AM29+100000</f>
        <v>2400000</v>
      </c>
      <c r="AO29" s="42">
        <f>AN29</f>
        <v>2400000</v>
      </c>
      <c r="AP29" s="42">
        <f>AO29</f>
        <v>2400000</v>
      </c>
      <c r="AQ29" s="61">
        <f>AP29+100000</f>
        <v>2500000</v>
      </c>
      <c r="AR29" s="42">
        <f>AQ29</f>
        <v>2500000</v>
      </c>
      <c r="AS29" s="42">
        <f>AR29</f>
        <v>2500000</v>
      </c>
      <c r="AT29" s="61">
        <f>AS29+100000</f>
        <v>2600000</v>
      </c>
      <c r="AU29" s="42">
        <f>AT29</f>
        <v>2600000</v>
      </c>
      <c r="AV29" s="42">
        <f>AU29</f>
        <v>2600000</v>
      </c>
      <c r="AW29" s="61">
        <f>AV29+400000</f>
        <v>3000000</v>
      </c>
      <c r="AX29" s="42">
        <f>AW29</f>
        <v>3000000</v>
      </c>
      <c r="AY29" s="42">
        <f>AX29</f>
        <v>3000000</v>
      </c>
      <c r="AZ29" s="61">
        <f>AY29+100000</f>
        <v>3100000</v>
      </c>
      <c r="BA29" s="42">
        <f>AZ29</f>
        <v>3100000</v>
      </c>
      <c r="BB29" s="42">
        <f>BA29</f>
        <v>3100000</v>
      </c>
      <c r="BC29" s="61">
        <f>BB29+100000</f>
        <v>3200000</v>
      </c>
      <c r="BD29" s="42">
        <f>BC29</f>
        <v>3200000</v>
      </c>
      <c r="BE29" s="42">
        <f>BD29</f>
        <v>3200000</v>
      </c>
      <c r="BF29" s="61">
        <f>BE29+100000</f>
        <v>3300000</v>
      </c>
      <c r="BG29" s="42">
        <f>BF29</f>
        <v>3300000</v>
      </c>
      <c r="BH29" s="42">
        <f>BG29</f>
        <v>3300000</v>
      </c>
      <c r="BI29" s="61">
        <f>BH29+400000</f>
        <v>3700000</v>
      </c>
      <c r="BJ29" s="42">
        <f>BI29</f>
        <v>3700000</v>
      </c>
      <c r="BK29" s="42">
        <f>BJ29</f>
        <v>3700000</v>
      </c>
      <c r="BL29" s="61">
        <f>BK29+100000</f>
        <v>3800000</v>
      </c>
      <c r="BM29" s="42">
        <f>BL29</f>
        <v>3800000</v>
      </c>
      <c r="BN29" s="42">
        <f>BM29</f>
        <v>3800000</v>
      </c>
      <c r="BO29" s="61">
        <f>BN29+100000</f>
        <v>3900000</v>
      </c>
      <c r="BP29" s="42">
        <f>BO29</f>
        <v>3900000</v>
      </c>
      <c r="BQ29" s="42">
        <f>BP29</f>
        <v>3900000</v>
      </c>
      <c r="BR29" s="61">
        <f>BQ29+100000</f>
        <v>4000000</v>
      </c>
      <c r="BS29" s="42">
        <f>BR29</f>
        <v>4000000</v>
      </c>
      <c r="BT29" s="42">
        <f>BS29</f>
        <v>4000000</v>
      </c>
      <c r="BU29" s="17"/>
      <c r="BV29" s="24">
        <f t="shared" ref="BV29:BZ29" si="84">SUMIF($M$3:$BT$3,BV$3,$M29:$BT29)</f>
        <v>4950000</v>
      </c>
      <c r="BW29" s="24">
        <f t="shared" si="84"/>
        <v>18150000</v>
      </c>
      <c r="BX29" s="24">
        <f t="shared" si="84"/>
        <v>29400000</v>
      </c>
      <c r="BY29" s="24">
        <f t="shared" si="84"/>
        <v>37800000</v>
      </c>
      <c r="BZ29" s="24">
        <f t="shared" si="84"/>
        <v>46200000</v>
      </c>
    </row>
    <row r="30" spans="1:78" x14ac:dyDescent="0.3">
      <c r="A30" t="s">
        <v>297</v>
      </c>
      <c r="L30" s="24"/>
      <c r="M30" s="42">
        <v>75000</v>
      </c>
      <c r="N30" s="42">
        <v>75000</v>
      </c>
      <c r="O30" s="42">
        <v>75000</v>
      </c>
      <c r="P30" s="61">
        <v>125000</v>
      </c>
      <c r="Q30" s="42">
        <v>125000</v>
      </c>
      <c r="R30" s="42">
        <v>125000</v>
      </c>
      <c r="S30" s="61">
        <v>250000</v>
      </c>
      <c r="T30" s="42">
        <v>250000</v>
      </c>
      <c r="U30" s="42">
        <v>250000</v>
      </c>
      <c r="V30" s="61">
        <v>375000</v>
      </c>
      <c r="W30" s="42">
        <v>375000</v>
      </c>
      <c r="X30" s="42">
        <v>375000</v>
      </c>
      <c r="Y30" s="61">
        <v>425000</v>
      </c>
      <c r="Z30" s="42">
        <v>425000</v>
      </c>
      <c r="AA30" s="42">
        <v>425000</v>
      </c>
      <c r="AB30" s="61">
        <v>500000</v>
      </c>
      <c r="AC30" s="42">
        <v>500000</v>
      </c>
      <c r="AD30" s="42">
        <v>500000</v>
      </c>
      <c r="AE30" s="61">
        <v>1000000</v>
      </c>
      <c r="AF30" s="42">
        <v>1000000</v>
      </c>
      <c r="AG30" s="42">
        <v>1000000</v>
      </c>
      <c r="AH30" s="61">
        <v>1100000</v>
      </c>
      <c r="AI30" s="42">
        <v>1100000</v>
      </c>
      <c r="AJ30" s="42">
        <v>1100000</v>
      </c>
      <c r="AK30" s="61">
        <v>1150000</v>
      </c>
      <c r="AL30" s="42">
        <v>1150000</v>
      </c>
      <c r="AM30" s="42">
        <v>1150000</v>
      </c>
      <c r="AN30" s="61">
        <v>1200000</v>
      </c>
      <c r="AO30" s="42">
        <v>1200000</v>
      </c>
      <c r="AP30" s="42">
        <v>1200000</v>
      </c>
      <c r="AQ30" s="61">
        <v>1250000</v>
      </c>
      <c r="AR30" s="42">
        <v>1250000</v>
      </c>
      <c r="AS30" s="42">
        <v>1250000</v>
      </c>
      <c r="AT30" s="61">
        <v>1300000</v>
      </c>
      <c r="AU30" s="42">
        <v>1300000</v>
      </c>
      <c r="AV30" s="42">
        <v>1300000</v>
      </c>
      <c r="AW30" s="61">
        <f>AV30+1300000</f>
        <v>2600000</v>
      </c>
      <c r="AX30" s="42">
        <f>AW30</f>
        <v>2600000</v>
      </c>
      <c r="AY30" s="42">
        <f>AX30</f>
        <v>2600000</v>
      </c>
      <c r="AZ30" s="61">
        <f>AY30+200000</f>
        <v>2800000</v>
      </c>
      <c r="BA30" s="42">
        <f>AZ30</f>
        <v>2800000</v>
      </c>
      <c r="BB30" s="42">
        <f>BA30</f>
        <v>2800000</v>
      </c>
      <c r="BC30" s="61">
        <f>BB30+200000</f>
        <v>3000000</v>
      </c>
      <c r="BD30" s="42">
        <f>BC30</f>
        <v>3000000</v>
      </c>
      <c r="BE30" s="42">
        <f>BD30</f>
        <v>3000000</v>
      </c>
      <c r="BF30" s="61">
        <f>BE30+200000</f>
        <v>3200000</v>
      </c>
      <c r="BG30" s="42">
        <f>BF30</f>
        <v>3200000</v>
      </c>
      <c r="BH30" s="42">
        <f>BG30</f>
        <v>3200000</v>
      </c>
      <c r="BI30" s="61">
        <f>BH30+800000</f>
        <v>4000000</v>
      </c>
      <c r="BJ30" s="42">
        <f>BI30</f>
        <v>4000000</v>
      </c>
      <c r="BK30" s="42">
        <f>BJ30</f>
        <v>4000000</v>
      </c>
      <c r="BL30" s="61">
        <f>BK30+100000</f>
        <v>4100000</v>
      </c>
      <c r="BM30" s="42">
        <f>BL30</f>
        <v>4100000</v>
      </c>
      <c r="BN30" s="42">
        <f t="shared" ref="BN30" si="85">BM30</f>
        <v>4100000</v>
      </c>
      <c r="BO30" s="61">
        <f>BN30+100000</f>
        <v>4200000</v>
      </c>
      <c r="BP30" s="42">
        <f>BO30</f>
        <v>4200000</v>
      </c>
      <c r="BQ30" s="42">
        <f t="shared" ref="BQ30" si="86">BP30</f>
        <v>4200000</v>
      </c>
      <c r="BR30" s="61">
        <f>BQ30+100000</f>
        <v>4300000</v>
      </c>
      <c r="BS30" s="42">
        <f>BR30</f>
        <v>4300000</v>
      </c>
      <c r="BT30" s="42">
        <f t="shared" ref="BT30" si="87">BS30</f>
        <v>4300000</v>
      </c>
      <c r="BU30" s="17"/>
      <c r="BV30" s="24"/>
      <c r="BW30" s="24"/>
      <c r="BX30" s="24"/>
      <c r="BY30" s="24"/>
      <c r="BZ30" s="24"/>
    </row>
    <row r="31" spans="1:78" x14ac:dyDescent="0.3">
      <c r="A31" t="s">
        <v>298</v>
      </c>
      <c r="G31" s="27">
        <v>2000</v>
      </c>
      <c r="H31" s="27">
        <f>G31</f>
        <v>2000</v>
      </c>
      <c r="M31" s="42">
        <f>G31</f>
        <v>2000</v>
      </c>
      <c r="N31" s="42">
        <f t="shared" ref="N31:AS31" si="88">M31+($H31-$G31)/COUNT($N$4:$BT$4)</f>
        <v>2000</v>
      </c>
      <c r="O31" s="42">
        <f t="shared" si="88"/>
        <v>2000</v>
      </c>
      <c r="P31" s="42">
        <f t="shared" si="88"/>
        <v>2000</v>
      </c>
      <c r="Q31" s="42">
        <f t="shared" si="88"/>
        <v>2000</v>
      </c>
      <c r="R31" s="42">
        <f t="shared" si="88"/>
        <v>2000</v>
      </c>
      <c r="S31" s="42">
        <f t="shared" si="88"/>
        <v>2000</v>
      </c>
      <c r="T31" s="42">
        <f t="shared" si="88"/>
        <v>2000</v>
      </c>
      <c r="U31" s="42">
        <f t="shared" si="88"/>
        <v>2000</v>
      </c>
      <c r="V31" s="42">
        <f t="shared" si="88"/>
        <v>2000</v>
      </c>
      <c r="W31" s="42">
        <f t="shared" si="88"/>
        <v>2000</v>
      </c>
      <c r="X31" s="42">
        <f t="shared" si="88"/>
        <v>2000</v>
      </c>
      <c r="Y31" s="42">
        <f t="shared" si="88"/>
        <v>2000</v>
      </c>
      <c r="Z31" s="42">
        <f t="shared" si="88"/>
        <v>2000</v>
      </c>
      <c r="AA31" s="42">
        <f t="shared" si="88"/>
        <v>2000</v>
      </c>
      <c r="AB31" s="42">
        <f t="shared" si="88"/>
        <v>2000</v>
      </c>
      <c r="AC31" s="42">
        <f t="shared" si="88"/>
        <v>2000</v>
      </c>
      <c r="AD31" s="42">
        <f t="shared" si="88"/>
        <v>2000</v>
      </c>
      <c r="AE31" s="42">
        <f t="shared" si="88"/>
        <v>2000</v>
      </c>
      <c r="AF31" s="42">
        <f t="shared" si="88"/>
        <v>2000</v>
      </c>
      <c r="AG31" s="42">
        <f t="shared" si="88"/>
        <v>2000</v>
      </c>
      <c r="AH31" s="42">
        <f t="shared" si="88"/>
        <v>2000</v>
      </c>
      <c r="AI31" s="42">
        <f t="shared" si="88"/>
        <v>2000</v>
      </c>
      <c r="AJ31" s="42">
        <f t="shared" si="88"/>
        <v>2000</v>
      </c>
      <c r="AK31" s="42">
        <f t="shared" si="88"/>
        <v>2000</v>
      </c>
      <c r="AL31" s="42">
        <f t="shared" si="88"/>
        <v>2000</v>
      </c>
      <c r="AM31" s="42">
        <f t="shared" si="88"/>
        <v>2000</v>
      </c>
      <c r="AN31" s="42">
        <f t="shared" si="88"/>
        <v>2000</v>
      </c>
      <c r="AO31" s="42">
        <f t="shared" si="88"/>
        <v>2000</v>
      </c>
      <c r="AP31" s="42">
        <f t="shared" si="88"/>
        <v>2000</v>
      </c>
      <c r="AQ31" s="42">
        <f t="shared" si="88"/>
        <v>2000</v>
      </c>
      <c r="AR31" s="42">
        <f t="shared" si="88"/>
        <v>2000</v>
      </c>
      <c r="AS31" s="42">
        <f t="shared" si="88"/>
        <v>2000</v>
      </c>
      <c r="AT31" s="42">
        <f t="shared" ref="AT31:BT31" si="89">AS31+($H31-$G31)/COUNT($N$4:$BT$4)</f>
        <v>2000</v>
      </c>
      <c r="AU31" s="42">
        <f t="shared" si="89"/>
        <v>2000</v>
      </c>
      <c r="AV31" s="42">
        <f t="shared" si="89"/>
        <v>2000</v>
      </c>
      <c r="AW31" s="42">
        <f t="shared" si="89"/>
        <v>2000</v>
      </c>
      <c r="AX31" s="42">
        <f t="shared" si="89"/>
        <v>2000</v>
      </c>
      <c r="AY31" s="42">
        <f t="shared" si="89"/>
        <v>2000</v>
      </c>
      <c r="AZ31" s="42">
        <f t="shared" si="89"/>
        <v>2000</v>
      </c>
      <c r="BA31" s="42">
        <f t="shared" si="89"/>
        <v>2000</v>
      </c>
      <c r="BB31" s="42">
        <f t="shared" si="89"/>
        <v>2000</v>
      </c>
      <c r="BC31" s="42">
        <f t="shared" si="89"/>
        <v>2000</v>
      </c>
      <c r="BD31" s="42">
        <f t="shared" si="89"/>
        <v>2000</v>
      </c>
      <c r="BE31" s="42">
        <f t="shared" si="89"/>
        <v>2000</v>
      </c>
      <c r="BF31" s="42">
        <f t="shared" si="89"/>
        <v>2000</v>
      </c>
      <c r="BG31" s="42">
        <f t="shared" si="89"/>
        <v>2000</v>
      </c>
      <c r="BH31" s="42">
        <f t="shared" si="89"/>
        <v>2000</v>
      </c>
      <c r="BI31" s="42">
        <f t="shared" si="89"/>
        <v>2000</v>
      </c>
      <c r="BJ31" s="42">
        <f t="shared" si="89"/>
        <v>2000</v>
      </c>
      <c r="BK31" s="42">
        <f t="shared" si="89"/>
        <v>2000</v>
      </c>
      <c r="BL31" s="42">
        <f t="shared" si="89"/>
        <v>2000</v>
      </c>
      <c r="BM31" s="42">
        <f t="shared" si="89"/>
        <v>2000</v>
      </c>
      <c r="BN31" s="42">
        <f t="shared" si="89"/>
        <v>2000</v>
      </c>
      <c r="BO31" s="42">
        <f t="shared" si="89"/>
        <v>2000</v>
      </c>
      <c r="BP31" s="42">
        <f t="shared" si="89"/>
        <v>2000</v>
      </c>
      <c r="BQ31" s="42">
        <f t="shared" si="89"/>
        <v>2000</v>
      </c>
      <c r="BR31" s="42">
        <f t="shared" si="89"/>
        <v>2000</v>
      </c>
      <c r="BS31" s="42">
        <f t="shared" si="89"/>
        <v>2000</v>
      </c>
      <c r="BT31" s="42">
        <f t="shared" si="89"/>
        <v>2000</v>
      </c>
      <c r="BU31" s="17"/>
    </row>
    <row r="32" spans="1:78" x14ac:dyDescent="0.3">
      <c r="A32" t="s">
        <v>299</v>
      </c>
      <c r="G32" s="42">
        <v>1000</v>
      </c>
      <c r="H32" s="42">
        <f>G32</f>
        <v>1000</v>
      </c>
      <c r="I32" s="31"/>
      <c r="J32" s="31"/>
      <c r="K32" s="31"/>
      <c r="L32" s="31"/>
      <c r="M32" s="42">
        <f>G32</f>
        <v>1000</v>
      </c>
      <c r="N32" s="42">
        <f t="shared" ref="N32" si="90">M32+($H32-$G32)/COUNT($N$4:$BT$4)</f>
        <v>1000</v>
      </c>
      <c r="O32" s="42">
        <f t="shared" ref="O32" si="91">N32+($H32-$G32)/COUNT($N$4:$BT$4)</f>
        <v>1000</v>
      </c>
      <c r="P32" s="42">
        <f t="shared" ref="P32" si="92">O32+($H32-$G32)/COUNT($N$4:$BT$4)</f>
        <v>1000</v>
      </c>
      <c r="Q32" s="42">
        <f t="shared" ref="Q32" si="93">P32+($H32-$G32)/COUNT($N$4:$BT$4)</f>
        <v>1000</v>
      </c>
      <c r="R32" s="42">
        <f t="shared" ref="R32" si="94">Q32+($H32-$G32)/COUNT($N$4:$BT$4)</f>
        <v>1000</v>
      </c>
      <c r="S32" s="42">
        <f t="shared" ref="S32" si="95">R32+($H32-$G32)/COUNT($N$4:$BT$4)</f>
        <v>1000</v>
      </c>
      <c r="T32" s="42">
        <f t="shared" ref="T32" si="96">S32+($H32-$G32)/COUNT($N$4:$BT$4)</f>
        <v>1000</v>
      </c>
      <c r="U32" s="42">
        <f t="shared" ref="U32" si="97">T32+($H32-$G32)/COUNT($N$4:$BT$4)</f>
        <v>1000</v>
      </c>
      <c r="V32" s="42">
        <f t="shared" ref="V32" si="98">U32+($H32-$G32)/COUNT($N$4:$BT$4)</f>
        <v>1000</v>
      </c>
      <c r="W32" s="42">
        <f t="shared" ref="W32" si="99">V32+($H32-$G32)/COUNT($N$4:$BT$4)</f>
        <v>1000</v>
      </c>
      <c r="X32" s="42">
        <f t="shared" ref="X32" si="100">W32+($H32-$G32)/COUNT($N$4:$BT$4)</f>
        <v>1000</v>
      </c>
      <c r="Y32" s="42">
        <f t="shared" ref="Y32" si="101">X32+($H32-$G32)/COUNT($N$4:$BT$4)</f>
        <v>1000</v>
      </c>
      <c r="Z32" s="42">
        <f t="shared" ref="Z32" si="102">Y32+($H32-$G32)/COUNT($N$4:$BT$4)</f>
        <v>1000</v>
      </c>
      <c r="AA32" s="42">
        <f t="shared" ref="AA32" si="103">Z32+($H32-$G32)/COUNT($N$4:$BT$4)</f>
        <v>1000</v>
      </c>
      <c r="AB32" s="42">
        <f t="shared" ref="AB32" si="104">AA32+($H32-$G32)/COUNT($N$4:$BT$4)</f>
        <v>1000</v>
      </c>
      <c r="AC32" s="42">
        <f t="shared" ref="AC32" si="105">AB32+($H32-$G32)/COUNT($N$4:$BT$4)</f>
        <v>1000</v>
      </c>
      <c r="AD32" s="42">
        <f t="shared" ref="AD32" si="106">AC32+($H32-$G32)/COUNT($N$4:$BT$4)</f>
        <v>1000</v>
      </c>
      <c r="AE32" s="42">
        <f t="shared" ref="AE32" si="107">AD32+($H32-$G32)/COUNT($N$4:$BT$4)</f>
        <v>1000</v>
      </c>
      <c r="AF32" s="42">
        <f t="shared" ref="AF32" si="108">AE32+($H32-$G32)/COUNT($N$4:$BT$4)</f>
        <v>1000</v>
      </c>
      <c r="AG32" s="42">
        <f t="shared" ref="AG32" si="109">AF32+($H32-$G32)/COUNT($N$4:$BT$4)</f>
        <v>1000</v>
      </c>
      <c r="AH32" s="42">
        <f t="shared" ref="AH32" si="110">AG32+($H32-$G32)/COUNT($N$4:$BT$4)</f>
        <v>1000</v>
      </c>
      <c r="AI32" s="42">
        <f t="shared" ref="AI32" si="111">AH32+($H32-$G32)/COUNT($N$4:$BT$4)</f>
        <v>1000</v>
      </c>
      <c r="AJ32" s="42">
        <f t="shared" ref="AJ32" si="112">AI32+($H32-$G32)/COUNT($N$4:$BT$4)</f>
        <v>1000</v>
      </c>
      <c r="AK32" s="42">
        <f t="shared" ref="AK32" si="113">AJ32+($H32-$G32)/COUNT($N$4:$BT$4)</f>
        <v>1000</v>
      </c>
      <c r="AL32" s="42">
        <f t="shared" ref="AL32" si="114">AK32+($H32-$G32)/COUNT($N$4:$BT$4)</f>
        <v>1000</v>
      </c>
      <c r="AM32" s="42">
        <f t="shared" ref="AM32" si="115">AL32+($H32-$G32)/COUNT($N$4:$BT$4)</f>
        <v>1000</v>
      </c>
      <c r="AN32" s="42">
        <f t="shared" ref="AN32" si="116">AM32+($H32-$G32)/COUNT($N$4:$BT$4)</f>
        <v>1000</v>
      </c>
      <c r="AO32" s="42">
        <f t="shared" ref="AO32" si="117">AN32+($H32-$G32)/COUNT($N$4:$BT$4)</f>
        <v>1000</v>
      </c>
      <c r="AP32" s="42">
        <f t="shared" ref="AP32" si="118">AO32+($H32-$G32)/COUNT($N$4:$BT$4)</f>
        <v>1000</v>
      </c>
      <c r="AQ32" s="42">
        <f t="shared" ref="AQ32" si="119">AP32+($H32-$G32)/COUNT($N$4:$BT$4)</f>
        <v>1000</v>
      </c>
      <c r="AR32" s="42">
        <f t="shared" ref="AR32" si="120">AQ32+($H32-$G32)/COUNT($N$4:$BT$4)</f>
        <v>1000</v>
      </c>
      <c r="AS32" s="42">
        <f t="shared" ref="AS32" si="121">AR32+($H32-$G32)/COUNT($N$4:$BT$4)</f>
        <v>1000</v>
      </c>
      <c r="AT32" s="42">
        <f t="shared" ref="AT32" si="122">AS32+($H32-$G32)/COUNT($N$4:$BT$4)</f>
        <v>1000</v>
      </c>
      <c r="AU32" s="42">
        <f t="shared" ref="AU32" si="123">AT32+($H32-$G32)/COUNT($N$4:$BT$4)</f>
        <v>1000</v>
      </c>
      <c r="AV32" s="42">
        <f t="shared" ref="AV32" si="124">AU32+($H32-$G32)/COUNT($N$4:$BT$4)</f>
        <v>1000</v>
      </c>
      <c r="AW32" s="42">
        <f t="shared" ref="AW32" si="125">AV32+($H32-$G32)/COUNT($N$4:$BT$4)</f>
        <v>1000</v>
      </c>
      <c r="AX32" s="42">
        <f t="shared" ref="AX32" si="126">AW32+($H32-$G32)/COUNT($N$4:$BT$4)</f>
        <v>1000</v>
      </c>
      <c r="AY32" s="42">
        <f t="shared" ref="AY32" si="127">AX32+($H32-$G32)/COUNT($N$4:$BT$4)</f>
        <v>1000</v>
      </c>
      <c r="AZ32" s="42">
        <f t="shared" ref="AZ32" si="128">AY32+($H32-$G32)/COUNT($N$4:$BT$4)</f>
        <v>1000</v>
      </c>
      <c r="BA32" s="42">
        <f t="shared" ref="BA32" si="129">AZ32+($H32-$G32)/COUNT($N$4:$BT$4)</f>
        <v>1000</v>
      </c>
      <c r="BB32" s="42">
        <f t="shared" ref="BB32" si="130">BA32+($H32-$G32)/COUNT($N$4:$BT$4)</f>
        <v>1000</v>
      </c>
      <c r="BC32" s="42">
        <f t="shared" ref="BC32" si="131">BB32+($H32-$G32)/COUNT($N$4:$BT$4)</f>
        <v>1000</v>
      </c>
      <c r="BD32" s="42">
        <f t="shared" ref="BD32" si="132">BC32+($H32-$G32)/COUNT($N$4:$BT$4)</f>
        <v>1000</v>
      </c>
      <c r="BE32" s="42">
        <f t="shared" ref="BE32" si="133">BD32+($H32-$G32)/COUNT($N$4:$BT$4)</f>
        <v>1000</v>
      </c>
      <c r="BF32" s="42">
        <f t="shared" ref="BF32" si="134">BE32+($H32-$G32)/COUNT($N$4:$BT$4)</f>
        <v>1000</v>
      </c>
      <c r="BG32" s="42">
        <f t="shared" ref="BG32" si="135">BF32+($H32-$G32)/COUNT($N$4:$BT$4)</f>
        <v>1000</v>
      </c>
      <c r="BH32" s="42">
        <f t="shared" ref="BH32" si="136">BG32+($H32-$G32)/COUNT($N$4:$BT$4)</f>
        <v>1000</v>
      </c>
      <c r="BI32" s="42">
        <f t="shared" ref="BI32" si="137">BH32+($H32-$G32)/COUNT($N$4:$BT$4)</f>
        <v>1000</v>
      </c>
      <c r="BJ32" s="42">
        <f t="shared" ref="BJ32" si="138">BI32+($H32-$G32)/COUNT($N$4:$BT$4)</f>
        <v>1000</v>
      </c>
      <c r="BK32" s="42">
        <f t="shared" ref="BK32" si="139">BJ32+($H32-$G32)/COUNT($N$4:$BT$4)</f>
        <v>1000</v>
      </c>
      <c r="BL32" s="42">
        <f t="shared" ref="BL32" si="140">BK32+($H32-$G32)/COUNT($N$4:$BT$4)</f>
        <v>1000</v>
      </c>
      <c r="BM32" s="42">
        <f t="shared" ref="BM32" si="141">BL32+($H32-$G32)/COUNT($N$4:$BT$4)</f>
        <v>1000</v>
      </c>
      <c r="BN32" s="42">
        <f t="shared" ref="BN32" si="142">BM32+($H32-$G32)/COUNT($N$4:$BT$4)</f>
        <v>1000</v>
      </c>
      <c r="BO32" s="42">
        <f t="shared" ref="BO32" si="143">BN32+($H32-$G32)/COUNT($N$4:$BT$4)</f>
        <v>1000</v>
      </c>
      <c r="BP32" s="42">
        <f t="shared" ref="BP32" si="144">BO32+($H32-$G32)/COUNT($N$4:$BT$4)</f>
        <v>1000</v>
      </c>
      <c r="BQ32" s="42">
        <f t="shared" ref="BQ32" si="145">BP32+($H32-$G32)/COUNT($N$4:$BT$4)</f>
        <v>1000</v>
      </c>
      <c r="BR32" s="42">
        <f t="shared" ref="BR32" si="146">BQ32+($H32-$G32)/COUNT($N$4:$BT$4)</f>
        <v>1000</v>
      </c>
      <c r="BS32" s="42">
        <f t="shared" ref="BS32" si="147">BR32+($H32-$G32)/COUNT($N$4:$BT$4)</f>
        <v>1000</v>
      </c>
      <c r="BT32" s="42">
        <f t="shared" ref="BT32" si="148">BS32+($H32-$G32)/COUNT($N$4:$BT$4)</f>
        <v>1000</v>
      </c>
      <c r="BU32" s="17"/>
    </row>
    <row r="33" spans="1:78" x14ac:dyDescent="0.3">
      <c r="A33" s="29" t="s">
        <v>85</v>
      </c>
      <c r="G33" s="57"/>
      <c r="H33" s="57"/>
      <c r="I33" s="31"/>
      <c r="J33" s="31"/>
      <c r="K33" s="31"/>
      <c r="L33" s="31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17"/>
    </row>
    <row r="34" spans="1:78" x14ac:dyDescent="0.3">
      <c r="A34" s="30" t="s">
        <v>16</v>
      </c>
      <c r="F34" s="25" t="s">
        <v>87</v>
      </c>
      <c r="G34" s="28">
        <v>0.1</v>
      </c>
      <c r="H34" s="28">
        <f>G34</f>
        <v>0.1</v>
      </c>
      <c r="I34" s="31"/>
      <c r="J34" s="31"/>
      <c r="K34" s="31"/>
      <c r="L34" s="31"/>
      <c r="M34" s="44">
        <f t="shared" ref="M34" si="149">G34</f>
        <v>0.1</v>
      </c>
      <c r="N34" s="44">
        <f t="shared" ref="N34:BT35" si="150">M34+($H34-$G34)/COUNT($N$4:$BT$4)</f>
        <v>0.1</v>
      </c>
      <c r="O34" s="44">
        <f t="shared" si="150"/>
        <v>0.1</v>
      </c>
      <c r="P34" s="44">
        <f t="shared" si="150"/>
        <v>0.1</v>
      </c>
      <c r="Q34" s="44">
        <f t="shared" si="150"/>
        <v>0.1</v>
      </c>
      <c r="R34" s="44">
        <f t="shared" si="150"/>
        <v>0.1</v>
      </c>
      <c r="S34" s="44">
        <f t="shared" si="150"/>
        <v>0.1</v>
      </c>
      <c r="T34" s="44">
        <f t="shared" si="150"/>
        <v>0.1</v>
      </c>
      <c r="U34" s="44">
        <f t="shared" si="150"/>
        <v>0.1</v>
      </c>
      <c r="V34" s="44">
        <f t="shared" si="150"/>
        <v>0.1</v>
      </c>
      <c r="W34" s="44">
        <f t="shared" si="150"/>
        <v>0.1</v>
      </c>
      <c r="X34" s="44">
        <f t="shared" si="150"/>
        <v>0.1</v>
      </c>
      <c r="Y34" s="44">
        <f t="shared" si="150"/>
        <v>0.1</v>
      </c>
      <c r="Z34" s="44">
        <f t="shared" si="150"/>
        <v>0.1</v>
      </c>
      <c r="AA34" s="44">
        <f t="shared" si="150"/>
        <v>0.1</v>
      </c>
      <c r="AB34" s="44">
        <f t="shared" si="150"/>
        <v>0.1</v>
      </c>
      <c r="AC34" s="44">
        <f t="shared" si="150"/>
        <v>0.1</v>
      </c>
      <c r="AD34" s="44">
        <f t="shared" si="150"/>
        <v>0.1</v>
      </c>
      <c r="AE34" s="44">
        <f t="shared" si="150"/>
        <v>0.1</v>
      </c>
      <c r="AF34" s="44">
        <f t="shared" si="150"/>
        <v>0.1</v>
      </c>
      <c r="AG34" s="44">
        <f t="shared" si="150"/>
        <v>0.1</v>
      </c>
      <c r="AH34" s="44">
        <f t="shared" si="150"/>
        <v>0.1</v>
      </c>
      <c r="AI34" s="44">
        <f t="shared" si="150"/>
        <v>0.1</v>
      </c>
      <c r="AJ34" s="44">
        <f t="shared" si="150"/>
        <v>0.1</v>
      </c>
      <c r="AK34" s="44">
        <f t="shared" si="150"/>
        <v>0.1</v>
      </c>
      <c r="AL34" s="44">
        <f t="shared" si="150"/>
        <v>0.1</v>
      </c>
      <c r="AM34" s="44">
        <f t="shared" si="150"/>
        <v>0.1</v>
      </c>
      <c r="AN34" s="44">
        <f t="shared" si="150"/>
        <v>0.1</v>
      </c>
      <c r="AO34" s="44">
        <f t="shared" si="150"/>
        <v>0.1</v>
      </c>
      <c r="AP34" s="44">
        <f t="shared" si="150"/>
        <v>0.1</v>
      </c>
      <c r="AQ34" s="44">
        <f t="shared" si="150"/>
        <v>0.1</v>
      </c>
      <c r="AR34" s="44">
        <f t="shared" si="150"/>
        <v>0.1</v>
      </c>
      <c r="AS34" s="44">
        <f t="shared" si="150"/>
        <v>0.1</v>
      </c>
      <c r="AT34" s="44">
        <f t="shared" si="150"/>
        <v>0.1</v>
      </c>
      <c r="AU34" s="44">
        <f t="shared" si="150"/>
        <v>0.1</v>
      </c>
      <c r="AV34" s="44">
        <f t="shared" si="150"/>
        <v>0.1</v>
      </c>
      <c r="AW34" s="44">
        <f t="shared" si="150"/>
        <v>0.1</v>
      </c>
      <c r="AX34" s="44">
        <f t="shared" si="150"/>
        <v>0.1</v>
      </c>
      <c r="AY34" s="44">
        <f t="shared" si="150"/>
        <v>0.1</v>
      </c>
      <c r="AZ34" s="44">
        <f t="shared" si="150"/>
        <v>0.1</v>
      </c>
      <c r="BA34" s="44">
        <f t="shared" si="150"/>
        <v>0.1</v>
      </c>
      <c r="BB34" s="44">
        <f t="shared" si="150"/>
        <v>0.1</v>
      </c>
      <c r="BC34" s="44">
        <f t="shared" si="150"/>
        <v>0.1</v>
      </c>
      <c r="BD34" s="44">
        <f t="shared" si="150"/>
        <v>0.1</v>
      </c>
      <c r="BE34" s="44">
        <f t="shared" si="150"/>
        <v>0.1</v>
      </c>
      <c r="BF34" s="44">
        <f t="shared" si="150"/>
        <v>0.1</v>
      </c>
      <c r="BG34" s="44">
        <f t="shared" si="150"/>
        <v>0.1</v>
      </c>
      <c r="BH34" s="44">
        <f t="shared" si="150"/>
        <v>0.1</v>
      </c>
      <c r="BI34" s="44">
        <f t="shared" si="150"/>
        <v>0.1</v>
      </c>
      <c r="BJ34" s="44">
        <f t="shared" si="150"/>
        <v>0.1</v>
      </c>
      <c r="BK34" s="44">
        <f t="shared" si="150"/>
        <v>0.1</v>
      </c>
      <c r="BL34" s="44">
        <f t="shared" si="150"/>
        <v>0.1</v>
      </c>
      <c r="BM34" s="44">
        <f t="shared" si="150"/>
        <v>0.1</v>
      </c>
      <c r="BN34" s="44">
        <f t="shared" si="150"/>
        <v>0.1</v>
      </c>
      <c r="BO34" s="44">
        <f t="shared" si="150"/>
        <v>0.1</v>
      </c>
      <c r="BP34" s="44">
        <f t="shared" si="150"/>
        <v>0.1</v>
      </c>
      <c r="BQ34" s="44">
        <f t="shared" si="150"/>
        <v>0.1</v>
      </c>
      <c r="BR34" s="44">
        <f t="shared" si="150"/>
        <v>0.1</v>
      </c>
      <c r="BS34" s="44">
        <f t="shared" si="150"/>
        <v>0.1</v>
      </c>
      <c r="BT34" s="44">
        <f t="shared" si="150"/>
        <v>0.1</v>
      </c>
      <c r="BU34" s="17"/>
    </row>
    <row r="35" spans="1:78" x14ac:dyDescent="0.3">
      <c r="A35" s="30" t="s">
        <v>19</v>
      </c>
      <c r="F35" s="25" t="s">
        <v>87</v>
      </c>
      <c r="G35" s="28">
        <v>2.5000000000000001E-2</v>
      </c>
      <c r="H35" s="28">
        <f>G35</f>
        <v>2.5000000000000001E-2</v>
      </c>
      <c r="I35" s="31"/>
      <c r="J35" s="31"/>
      <c r="K35" s="31"/>
      <c r="L35" s="31"/>
      <c r="M35" s="45">
        <f t="shared" ref="M35:M36" si="151">G35</f>
        <v>2.5000000000000001E-2</v>
      </c>
      <c r="N35" s="45">
        <f t="shared" si="150"/>
        <v>2.5000000000000001E-2</v>
      </c>
      <c r="O35" s="45">
        <f t="shared" si="150"/>
        <v>2.5000000000000001E-2</v>
      </c>
      <c r="P35" s="45">
        <f t="shared" si="150"/>
        <v>2.5000000000000001E-2</v>
      </c>
      <c r="Q35" s="45">
        <f t="shared" si="150"/>
        <v>2.5000000000000001E-2</v>
      </c>
      <c r="R35" s="45">
        <f t="shared" si="150"/>
        <v>2.5000000000000001E-2</v>
      </c>
      <c r="S35" s="45">
        <f t="shared" si="150"/>
        <v>2.5000000000000001E-2</v>
      </c>
      <c r="T35" s="45">
        <f t="shared" si="150"/>
        <v>2.5000000000000001E-2</v>
      </c>
      <c r="U35" s="45">
        <f t="shared" si="150"/>
        <v>2.5000000000000001E-2</v>
      </c>
      <c r="V35" s="45">
        <f t="shared" si="150"/>
        <v>2.5000000000000001E-2</v>
      </c>
      <c r="W35" s="45">
        <f t="shared" si="150"/>
        <v>2.5000000000000001E-2</v>
      </c>
      <c r="X35" s="45">
        <f t="shared" si="150"/>
        <v>2.5000000000000001E-2</v>
      </c>
      <c r="Y35" s="45">
        <f t="shared" si="150"/>
        <v>2.5000000000000001E-2</v>
      </c>
      <c r="Z35" s="45">
        <f t="shared" si="150"/>
        <v>2.5000000000000001E-2</v>
      </c>
      <c r="AA35" s="45">
        <f t="shared" si="150"/>
        <v>2.5000000000000001E-2</v>
      </c>
      <c r="AB35" s="45">
        <f t="shared" si="150"/>
        <v>2.5000000000000001E-2</v>
      </c>
      <c r="AC35" s="45">
        <f t="shared" si="150"/>
        <v>2.5000000000000001E-2</v>
      </c>
      <c r="AD35" s="45">
        <f t="shared" si="150"/>
        <v>2.5000000000000001E-2</v>
      </c>
      <c r="AE35" s="45">
        <f t="shared" si="150"/>
        <v>2.5000000000000001E-2</v>
      </c>
      <c r="AF35" s="45">
        <f t="shared" si="150"/>
        <v>2.5000000000000001E-2</v>
      </c>
      <c r="AG35" s="45">
        <f t="shared" si="150"/>
        <v>2.5000000000000001E-2</v>
      </c>
      <c r="AH35" s="45">
        <f t="shared" si="150"/>
        <v>2.5000000000000001E-2</v>
      </c>
      <c r="AI35" s="45">
        <f t="shared" si="150"/>
        <v>2.5000000000000001E-2</v>
      </c>
      <c r="AJ35" s="45">
        <f t="shared" si="150"/>
        <v>2.5000000000000001E-2</v>
      </c>
      <c r="AK35" s="45">
        <f t="shared" si="150"/>
        <v>2.5000000000000001E-2</v>
      </c>
      <c r="AL35" s="45">
        <f t="shared" si="150"/>
        <v>2.5000000000000001E-2</v>
      </c>
      <c r="AM35" s="45">
        <f t="shared" si="150"/>
        <v>2.5000000000000001E-2</v>
      </c>
      <c r="AN35" s="45">
        <f t="shared" si="150"/>
        <v>2.5000000000000001E-2</v>
      </c>
      <c r="AO35" s="45">
        <f t="shared" si="150"/>
        <v>2.5000000000000001E-2</v>
      </c>
      <c r="AP35" s="45">
        <f t="shared" si="150"/>
        <v>2.5000000000000001E-2</v>
      </c>
      <c r="AQ35" s="45">
        <f t="shared" si="150"/>
        <v>2.5000000000000001E-2</v>
      </c>
      <c r="AR35" s="45">
        <f t="shared" si="150"/>
        <v>2.5000000000000001E-2</v>
      </c>
      <c r="AS35" s="45">
        <f t="shared" si="150"/>
        <v>2.5000000000000001E-2</v>
      </c>
      <c r="AT35" s="45">
        <f t="shared" si="150"/>
        <v>2.5000000000000001E-2</v>
      </c>
      <c r="AU35" s="45">
        <f t="shared" si="150"/>
        <v>2.5000000000000001E-2</v>
      </c>
      <c r="AV35" s="45">
        <f t="shared" si="150"/>
        <v>2.5000000000000001E-2</v>
      </c>
      <c r="AW35" s="45">
        <f t="shared" si="150"/>
        <v>2.5000000000000001E-2</v>
      </c>
      <c r="AX35" s="45">
        <f t="shared" si="150"/>
        <v>2.5000000000000001E-2</v>
      </c>
      <c r="AY35" s="45">
        <f t="shared" si="150"/>
        <v>2.5000000000000001E-2</v>
      </c>
      <c r="AZ35" s="45">
        <f t="shared" si="150"/>
        <v>2.5000000000000001E-2</v>
      </c>
      <c r="BA35" s="45">
        <f t="shared" si="150"/>
        <v>2.5000000000000001E-2</v>
      </c>
      <c r="BB35" s="45">
        <f t="shared" si="150"/>
        <v>2.5000000000000001E-2</v>
      </c>
      <c r="BC35" s="45">
        <f t="shared" si="150"/>
        <v>2.5000000000000001E-2</v>
      </c>
      <c r="BD35" s="45">
        <f t="shared" si="150"/>
        <v>2.5000000000000001E-2</v>
      </c>
      <c r="BE35" s="45">
        <f t="shared" si="150"/>
        <v>2.5000000000000001E-2</v>
      </c>
      <c r="BF35" s="45">
        <f t="shared" si="150"/>
        <v>2.5000000000000001E-2</v>
      </c>
      <c r="BG35" s="45">
        <f t="shared" si="150"/>
        <v>2.5000000000000001E-2</v>
      </c>
      <c r="BH35" s="45">
        <f t="shared" si="150"/>
        <v>2.5000000000000001E-2</v>
      </c>
      <c r="BI35" s="45">
        <f t="shared" si="150"/>
        <v>2.5000000000000001E-2</v>
      </c>
      <c r="BJ35" s="45">
        <f t="shared" si="150"/>
        <v>2.5000000000000001E-2</v>
      </c>
      <c r="BK35" s="45">
        <f t="shared" si="150"/>
        <v>2.5000000000000001E-2</v>
      </c>
      <c r="BL35" s="45">
        <f t="shared" si="150"/>
        <v>2.5000000000000001E-2</v>
      </c>
      <c r="BM35" s="45">
        <f t="shared" si="150"/>
        <v>2.5000000000000001E-2</v>
      </c>
      <c r="BN35" s="45">
        <f t="shared" si="150"/>
        <v>2.5000000000000001E-2</v>
      </c>
      <c r="BO35" s="45">
        <f t="shared" si="150"/>
        <v>2.5000000000000001E-2</v>
      </c>
      <c r="BP35" s="45">
        <f t="shared" si="150"/>
        <v>2.5000000000000001E-2</v>
      </c>
      <c r="BQ35" s="45">
        <f t="shared" si="150"/>
        <v>2.5000000000000001E-2</v>
      </c>
      <c r="BR35" s="45">
        <f t="shared" si="150"/>
        <v>2.5000000000000001E-2</v>
      </c>
      <c r="BS35" s="45">
        <f t="shared" si="150"/>
        <v>2.5000000000000001E-2</v>
      </c>
      <c r="BT35" s="45">
        <f t="shared" si="150"/>
        <v>2.5000000000000001E-2</v>
      </c>
      <c r="BU35" s="17"/>
    </row>
    <row r="36" spans="1:78" x14ac:dyDescent="0.3">
      <c r="A36" s="30" t="s">
        <v>86</v>
      </c>
      <c r="F36" s="25" t="s">
        <v>87</v>
      </c>
      <c r="G36" s="28">
        <v>0.05</v>
      </c>
      <c r="H36" s="28">
        <f>G36</f>
        <v>0.05</v>
      </c>
      <c r="I36" s="31"/>
      <c r="J36" s="31"/>
      <c r="K36" s="31"/>
      <c r="L36" s="31"/>
      <c r="M36" s="44">
        <f t="shared" si="151"/>
        <v>0.05</v>
      </c>
      <c r="N36" s="44">
        <f t="shared" ref="N36:BT36" si="152">M36+($H36-$G36)/COUNT($N$4:$BT$4)</f>
        <v>0.05</v>
      </c>
      <c r="O36" s="44">
        <f t="shared" si="152"/>
        <v>0.05</v>
      </c>
      <c r="P36" s="44">
        <f t="shared" si="152"/>
        <v>0.05</v>
      </c>
      <c r="Q36" s="44">
        <f t="shared" si="152"/>
        <v>0.05</v>
      </c>
      <c r="R36" s="44">
        <f t="shared" si="152"/>
        <v>0.05</v>
      </c>
      <c r="S36" s="44">
        <f t="shared" si="152"/>
        <v>0.05</v>
      </c>
      <c r="T36" s="44">
        <f t="shared" si="152"/>
        <v>0.05</v>
      </c>
      <c r="U36" s="44">
        <f t="shared" si="152"/>
        <v>0.05</v>
      </c>
      <c r="V36" s="44">
        <f t="shared" si="152"/>
        <v>0.05</v>
      </c>
      <c r="W36" s="44">
        <f t="shared" si="152"/>
        <v>0.05</v>
      </c>
      <c r="X36" s="44">
        <f t="shared" si="152"/>
        <v>0.05</v>
      </c>
      <c r="Y36" s="44">
        <f t="shared" si="152"/>
        <v>0.05</v>
      </c>
      <c r="Z36" s="44">
        <f t="shared" si="152"/>
        <v>0.05</v>
      </c>
      <c r="AA36" s="44">
        <f t="shared" si="152"/>
        <v>0.05</v>
      </c>
      <c r="AB36" s="44">
        <f t="shared" si="152"/>
        <v>0.05</v>
      </c>
      <c r="AC36" s="44">
        <f t="shared" si="152"/>
        <v>0.05</v>
      </c>
      <c r="AD36" s="44">
        <f t="shared" si="152"/>
        <v>0.05</v>
      </c>
      <c r="AE36" s="44">
        <f t="shared" si="152"/>
        <v>0.05</v>
      </c>
      <c r="AF36" s="44">
        <f t="shared" si="152"/>
        <v>0.05</v>
      </c>
      <c r="AG36" s="44">
        <f t="shared" si="152"/>
        <v>0.05</v>
      </c>
      <c r="AH36" s="44">
        <f t="shared" si="152"/>
        <v>0.05</v>
      </c>
      <c r="AI36" s="44">
        <f t="shared" si="152"/>
        <v>0.05</v>
      </c>
      <c r="AJ36" s="44">
        <f t="shared" si="152"/>
        <v>0.05</v>
      </c>
      <c r="AK36" s="44">
        <f t="shared" si="152"/>
        <v>0.05</v>
      </c>
      <c r="AL36" s="44">
        <f t="shared" si="152"/>
        <v>0.05</v>
      </c>
      <c r="AM36" s="44">
        <f t="shared" si="152"/>
        <v>0.05</v>
      </c>
      <c r="AN36" s="44">
        <f t="shared" si="152"/>
        <v>0.05</v>
      </c>
      <c r="AO36" s="44">
        <f t="shared" si="152"/>
        <v>0.05</v>
      </c>
      <c r="AP36" s="44">
        <f t="shared" si="152"/>
        <v>0.05</v>
      </c>
      <c r="AQ36" s="44">
        <f t="shared" si="152"/>
        <v>0.05</v>
      </c>
      <c r="AR36" s="44">
        <f t="shared" si="152"/>
        <v>0.05</v>
      </c>
      <c r="AS36" s="44">
        <f t="shared" si="152"/>
        <v>0.05</v>
      </c>
      <c r="AT36" s="44">
        <f t="shared" si="152"/>
        <v>0.05</v>
      </c>
      <c r="AU36" s="44">
        <f t="shared" si="152"/>
        <v>0.05</v>
      </c>
      <c r="AV36" s="44">
        <f t="shared" si="152"/>
        <v>0.05</v>
      </c>
      <c r="AW36" s="44">
        <f t="shared" si="152"/>
        <v>0.05</v>
      </c>
      <c r="AX36" s="44">
        <f t="shared" si="152"/>
        <v>0.05</v>
      </c>
      <c r="AY36" s="44">
        <f t="shared" si="152"/>
        <v>0.05</v>
      </c>
      <c r="AZ36" s="44">
        <f t="shared" si="152"/>
        <v>0.05</v>
      </c>
      <c r="BA36" s="44">
        <f t="shared" si="152"/>
        <v>0.05</v>
      </c>
      <c r="BB36" s="44">
        <f t="shared" si="152"/>
        <v>0.05</v>
      </c>
      <c r="BC36" s="44">
        <f t="shared" si="152"/>
        <v>0.05</v>
      </c>
      <c r="BD36" s="44">
        <f t="shared" si="152"/>
        <v>0.05</v>
      </c>
      <c r="BE36" s="44">
        <f t="shared" si="152"/>
        <v>0.05</v>
      </c>
      <c r="BF36" s="44">
        <f t="shared" si="152"/>
        <v>0.05</v>
      </c>
      <c r="BG36" s="44">
        <f t="shared" si="152"/>
        <v>0.05</v>
      </c>
      <c r="BH36" s="44">
        <f t="shared" si="152"/>
        <v>0.05</v>
      </c>
      <c r="BI36" s="44">
        <f t="shared" si="152"/>
        <v>0.05</v>
      </c>
      <c r="BJ36" s="44">
        <f t="shared" si="152"/>
        <v>0.05</v>
      </c>
      <c r="BK36" s="44">
        <f t="shared" si="152"/>
        <v>0.05</v>
      </c>
      <c r="BL36" s="44">
        <f t="shared" si="152"/>
        <v>0.05</v>
      </c>
      <c r="BM36" s="44">
        <f t="shared" si="152"/>
        <v>0.05</v>
      </c>
      <c r="BN36" s="44">
        <f t="shared" si="152"/>
        <v>0.05</v>
      </c>
      <c r="BO36" s="44">
        <f t="shared" si="152"/>
        <v>0.05</v>
      </c>
      <c r="BP36" s="44">
        <f t="shared" si="152"/>
        <v>0.05</v>
      </c>
      <c r="BQ36" s="44">
        <f t="shared" si="152"/>
        <v>0.05</v>
      </c>
      <c r="BR36" s="44">
        <f t="shared" si="152"/>
        <v>0.05</v>
      </c>
      <c r="BS36" s="44">
        <f t="shared" si="152"/>
        <v>0.05</v>
      </c>
      <c r="BT36" s="44">
        <f t="shared" si="152"/>
        <v>0.05</v>
      </c>
      <c r="BU36" s="17"/>
    </row>
    <row r="37" spans="1:78" x14ac:dyDescent="0.3">
      <c r="A37" s="29" t="s">
        <v>60</v>
      </c>
      <c r="G37" s="57"/>
      <c r="H37" s="57"/>
      <c r="I37" s="31"/>
      <c r="J37" s="31"/>
      <c r="K37" s="31"/>
      <c r="L37" s="31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17"/>
    </row>
    <row r="38" spans="1:78" x14ac:dyDescent="0.3">
      <c r="A38" t="s">
        <v>73</v>
      </c>
      <c r="F38" s="25" t="s">
        <v>70</v>
      </c>
      <c r="G38" s="27">
        <v>50</v>
      </c>
      <c r="H38" s="27">
        <f>G38</f>
        <v>50</v>
      </c>
      <c r="M38" s="42">
        <f>G38</f>
        <v>50</v>
      </c>
      <c r="N38" s="42">
        <f t="shared" ref="N38:AS38" si="153">M38+($H38-$G38)/COUNT($N$4:$BT$4)</f>
        <v>50</v>
      </c>
      <c r="O38" s="42">
        <f t="shared" si="153"/>
        <v>50</v>
      </c>
      <c r="P38" s="42">
        <f t="shared" si="153"/>
        <v>50</v>
      </c>
      <c r="Q38" s="42">
        <f t="shared" si="153"/>
        <v>50</v>
      </c>
      <c r="R38" s="42">
        <f t="shared" si="153"/>
        <v>50</v>
      </c>
      <c r="S38" s="42">
        <f t="shared" si="153"/>
        <v>50</v>
      </c>
      <c r="T38" s="42">
        <f t="shared" si="153"/>
        <v>50</v>
      </c>
      <c r="U38" s="42">
        <f t="shared" si="153"/>
        <v>50</v>
      </c>
      <c r="V38" s="42">
        <f t="shared" si="153"/>
        <v>50</v>
      </c>
      <c r="W38" s="42">
        <f t="shared" si="153"/>
        <v>50</v>
      </c>
      <c r="X38" s="42">
        <f t="shared" si="153"/>
        <v>50</v>
      </c>
      <c r="Y38" s="42">
        <f t="shared" si="153"/>
        <v>50</v>
      </c>
      <c r="Z38" s="42">
        <f t="shared" si="153"/>
        <v>50</v>
      </c>
      <c r="AA38" s="42">
        <f t="shared" si="153"/>
        <v>50</v>
      </c>
      <c r="AB38" s="42">
        <f t="shared" si="153"/>
        <v>50</v>
      </c>
      <c r="AC38" s="42">
        <f t="shared" si="153"/>
        <v>50</v>
      </c>
      <c r="AD38" s="42">
        <f t="shared" si="153"/>
        <v>50</v>
      </c>
      <c r="AE38" s="42">
        <f t="shared" si="153"/>
        <v>50</v>
      </c>
      <c r="AF38" s="42">
        <f t="shared" si="153"/>
        <v>50</v>
      </c>
      <c r="AG38" s="42">
        <f t="shared" si="153"/>
        <v>50</v>
      </c>
      <c r="AH38" s="42">
        <f t="shared" si="153"/>
        <v>50</v>
      </c>
      <c r="AI38" s="42">
        <f t="shared" si="153"/>
        <v>50</v>
      </c>
      <c r="AJ38" s="42">
        <f t="shared" si="153"/>
        <v>50</v>
      </c>
      <c r="AK38" s="42">
        <f t="shared" si="153"/>
        <v>50</v>
      </c>
      <c r="AL38" s="42">
        <f t="shared" si="153"/>
        <v>50</v>
      </c>
      <c r="AM38" s="42">
        <f t="shared" si="153"/>
        <v>50</v>
      </c>
      <c r="AN38" s="42">
        <f t="shared" si="153"/>
        <v>50</v>
      </c>
      <c r="AO38" s="42">
        <f t="shared" si="153"/>
        <v>50</v>
      </c>
      <c r="AP38" s="42">
        <f t="shared" si="153"/>
        <v>50</v>
      </c>
      <c r="AQ38" s="42">
        <f t="shared" si="153"/>
        <v>50</v>
      </c>
      <c r="AR38" s="42">
        <f t="shared" si="153"/>
        <v>50</v>
      </c>
      <c r="AS38" s="42">
        <f t="shared" si="153"/>
        <v>50</v>
      </c>
      <c r="AT38" s="42">
        <f t="shared" ref="AT38:BT38" si="154">AS38+($H38-$G38)/COUNT($N$4:$BT$4)</f>
        <v>50</v>
      </c>
      <c r="AU38" s="42">
        <f t="shared" si="154"/>
        <v>50</v>
      </c>
      <c r="AV38" s="42">
        <f t="shared" si="154"/>
        <v>50</v>
      </c>
      <c r="AW38" s="42">
        <f t="shared" si="154"/>
        <v>50</v>
      </c>
      <c r="AX38" s="42">
        <f t="shared" si="154"/>
        <v>50</v>
      </c>
      <c r="AY38" s="42">
        <f t="shared" si="154"/>
        <v>50</v>
      </c>
      <c r="AZ38" s="42">
        <f t="shared" si="154"/>
        <v>50</v>
      </c>
      <c r="BA38" s="42">
        <f t="shared" si="154"/>
        <v>50</v>
      </c>
      <c r="BB38" s="42">
        <f t="shared" si="154"/>
        <v>50</v>
      </c>
      <c r="BC38" s="42">
        <f t="shared" si="154"/>
        <v>50</v>
      </c>
      <c r="BD38" s="42">
        <f t="shared" si="154"/>
        <v>50</v>
      </c>
      <c r="BE38" s="42">
        <f t="shared" si="154"/>
        <v>50</v>
      </c>
      <c r="BF38" s="42">
        <f t="shared" si="154"/>
        <v>50</v>
      </c>
      <c r="BG38" s="42">
        <f t="shared" si="154"/>
        <v>50</v>
      </c>
      <c r="BH38" s="42">
        <f t="shared" si="154"/>
        <v>50</v>
      </c>
      <c r="BI38" s="42">
        <f t="shared" si="154"/>
        <v>50</v>
      </c>
      <c r="BJ38" s="42">
        <f t="shared" si="154"/>
        <v>50</v>
      </c>
      <c r="BK38" s="42">
        <f t="shared" si="154"/>
        <v>50</v>
      </c>
      <c r="BL38" s="42">
        <f t="shared" si="154"/>
        <v>50</v>
      </c>
      <c r="BM38" s="42">
        <f t="shared" si="154"/>
        <v>50</v>
      </c>
      <c r="BN38" s="42">
        <f t="shared" si="154"/>
        <v>50</v>
      </c>
      <c r="BO38" s="42">
        <f t="shared" si="154"/>
        <v>50</v>
      </c>
      <c r="BP38" s="42">
        <f t="shared" si="154"/>
        <v>50</v>
      </c>
      <c r="BQ38" s="42">
        <f t="shared" si="154"/>
        <v>50</v>
      </c>
      <c r="BR38" s="42">
        <f t="shared" si="154"/>
        <v>50</v>
      </c>
      <c r="BS38" s="42">
        <f t="shared" si="154"/>
        <v>50</v>
      </c>
      <c r="BT38" s="42">
        <f t="shared" si="154"/>
        <v>50</v>
      </c>
      <c r="BU38" s="17"/>
    </row>
    <row r="39" spans="1:78" x14ac:dyDescent="0.3">
      <c r="A39" t="s">
        <v>71</v>
      </c>
      <c r="F39" s="25" t="s">
        <v>72</v>
      </c>
      <c r="G39" s="27">
        <v>10</v>
      </c>
      <c r="H39" s="27">
        <f>G39</f>
        <v>10</v>
      </c>
      <c r="M39" s="42">
        <f>G39</f>
        <v>10</v>
      </c>
      <c r="N39" s="42">
        <f t="shared" ref="N39:AS39" si="155">M39+($H39-$G39)/COUNT($N$4:$BT$4)</f>
        <v>10</v>
      </c>
      <c r="O39" s="42">
        <f t="shared" si="155"/>
        <v>10</v>
      </c>
      <c r="P39" s="42">
        <f t="shared" si="155"/>
        <v>10</v>
      </c>
      <c r="Q39" s="42">
        <f t="shared" si="155"/>
        <v>10</v>
      </c>
      <c r="R39" s="42">
        <f t="shared" si="155"/>
        <v>10</v>
      </c>
      <c r="S39" s="42">
        <f t="shared" si="155"/>
        <v>10</v>
      </c>
      <c r="T39" s="42">
        <f t="shared" si="155"/>
        <v>10</v>
      </c>
      <c r="U39" s="42">
        <f t="shared" si="155"/>
        <v>10</v>
      </c>
      <c r="V39" s="42">
        <f t="shared" si="155"/>
        <v>10</v>
      </c>
      <c r="W39" s="42">
        <f t="shared" si="155"/>
        <v>10</v>
      </c>
      <c r="X39" s="42">
        <f t="shared" si="155"/>
        <v>10</v>
      </c>
      <c r="Y39" s="42">
        <f t="shared" si="155"/>
        <v>10</v>
      </c>
      <c r="Z39" s="42">
        <f t="shared" si="155"/>
        <v>10</v>
      </c>
      <c r="AA39" s="42">
        <f t="shared" si="155"/>
        <v>10</v>
      </c>
      <c r="AB39" s="42">
        <f t="shared" si="155"/>
        <v>10</v>
      </c>
      <c r="AC39" s="42">
        <f t="shared" si="155"/>
        <v>10</v>
      </c>
      <c r="AD39" s="42">
        <f t="shared" si="155"/>
        <v>10</v>
      </c>
      <c r="AE39" s="42">
        <f t="shared" si="155"/>
        <v>10</v>
      </c>
      <c r="AF39" s="42">
        <f t="shared" si="155"/>
        <v>10</v>
      </c>
      <c r="AG39" s="42">
        <f t="shared" si="155"/>
        <v>10</v>
      </c>
      <c r="AH39" s="42">
        <f t="shared" si="155"/>
        <v>10</v>
      </c>
      <c r="AI39" s="42">
        <f t="shared" si="155"/>
        <v>10</v>
      </c>
      <c r="AJ39" s="42">
        <f t="shared" si="155"/>
        <v>10</v>
      </c>
      <c r="AK39" s="42">
        <f t="shared" si="155"/>
        <v>10</v>
      </c>
      <c r="AL39" s="42">
        <f t="shared" si="155"/>
        <v>10</v>
      </c>
      <c r="AM39" s="42">
        <f t="shared" si="155"/>
        <v>10</v>
      </c>
      <c r="AN39" s="42">
        <f t="shared" si="155"/>
        <v>10</v>
      </c>
      <c r="AO39" s="42">
        <f t="shared" si="155"/>
        <v>10</v>
      </c>
      <c r="AP39" s="42">
        <f t="shared" si="155"/>
        <v>10</v>
      </c>
      <c r="AQ39" s="42">
        <f t="shared" si="155"/>
        <v>10</v>
      </c>
      <c r="AR39" s="42">
        <f t="shared" si="155"/>
        <v>10</v>
      </c>
      <c r="AS39" s="42">
        <f t="shared" si="155"/>
        <v>10</v>
      </c>
      <c r="AT39" s="42">
        <f t="shared" ref="AT39:BT39" si="156">AS39+($H39-$G39)/COUNT($N$4:$BT$4)</f>
        <v>10</v>
      </c>
      <c r="AU39" s="42">
        <f t="shared" si="156"/>
        <v>10</v>
      </c>
      <c r="AV39" s="42">
        <f t="shared" si="156"/>
        <v>10</v>
      </c>
      <c r="AW39" s="42">
        <f t="shared" si="156"/>
        <v>10</v>
      </c>
      <c r="AX39" s="42">
        <f t="shared" si="156"/>
        <v>10</v>
      </c>
      <c r="AY39" s="42">
        <f t="shared" si="156"/>
        <v>10</v>
      </c>
      <c r="AZ39" s="42">
        <f t="shared" si="156"/>
        <v>10</v>
      </c>
      <c r="BA39" s="42">
        <f t="shared" si="156"/>
        <v>10</v>
      </c>
      <c r="BB39" s="42">
        <f t="shared" si="156"/>
        <v>10</v>
      </c>
      <c r="BC39" s="42">
        <f t="shared" si="156"/>
        <v>10</v>
      </c>
      <c r="BD39" s="42">
        <f t="shared" si="156"/>
        <v>10</v>
      </c>
      <c r="BE39" s="42">
        <f t="shared" si="156"/>
        <v>10</v>
      </c>
      <c r="BF39" s="42">
        <f t="shared" si="156"/>
        <v>10</v>
      </c>
      <c r="BG39" s="42">
        <f t="shared" si="156"/>
        <v>10</v>
      </c>
      <c r="BH39" s="42">
        <f t="shared" si="156"/>
        <v>10</v>
      </c>
      <c r="BI39" s="42">
        <f t="shared" si="156"/>
        <v>10</v>
      </c>
      <c r="BJ39" s="42">
        <f t="shared" si="156"/>
        <v>10</v>
      </c>
      <c r="BK39" s="42">
        <f t="shared" si="156"/>
        <v>10</v>
      </c>
      <c r="BL39" s="42">
        <f t="shared" si="156"/>
        <v>10</v>
      </c>
      <c r="BM39" s="42">
        <f t="shared" si="156"/>
        <v>10</v>
      </c>
      <c r="BN39" s="42">
        <f t="shared" si="156"/>
        <v>10</v>
      </c>
      <c r="BO39" s="42">
        <f t="shared" si="156"/>
        <v>10</v>
      </c>
      <c r="BP39" s="42">
        <f t="shared" si="156"/>
        <v>10</v>
      </c>
      <c r="BQ39" s="42">
        <f t="shared" si="156"/>
        <v>10</v>
      </c>
      <c r="BR39" s="42">
        <f t="shared" si="156"/>
        <v>10</v>
      </c>
      <c r="BS39" s="42">
        <f t="shared" si="156"/>
        <v>10</v>
      </c>
      <c r="BT39" s="42">
        <f t="shared" si="156"/>
        <v>10</v>
      </c>
      <c r="BU39" s="17"/>
    </row>
    <row r="40" spans="1:78" x14ac:dyDescent="0.3">
      <c r="A40" s="29" t="s">
        <v>75</v>
      </c>
      <c r="BU40" s="17"/>
    </row>
    <row r="41" spans="1:78" x14ac:dyDescent="0.3">
      <c r="A41" t="s">
        <v>73</v>
      </c>
      <c r="F41" s="25" t="s">
        <v>68</v>
      </c>
      <c r="G41" s="42">
        <v>50000</v>
      </c>
      <c r="H41" s="28">
        <v>0.15</v>
      </c>
      <c r="I41" t="s">
        <v>64</v>
      </c>
      <c r="BU41" s="17"/>
    </row>
    <row r="42" spans="1:78" x14ac:dyDescent="0.3">
      <c r="A42" t="s">
        <v>71</v>
      </c>
      <c r="F42" s="25" t="s">
        <v>68</v>
      </c>
      <c r="G42" s="42">
        <v>70000</v>
      </c>
      <c r="H42" s="28">
        <v>0.15</v>
      </c>
      <c r="I42" t="s">
        <v>64</v>
      </c>
      <c r="BU42" s="17"/>
    </row>
    <row r="43" spans="1:78" x14ac:dyDescent="0.3">
      <c r="A43" s="115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55"/>
      <c r="BV43" s="116"/>
      <c r="BW43" s="116"/>
      <c r="BX43" s="116"/>
      <c r="BY43" s="116"/>
      <c r="BZ43" s="116"/>
    </row>
    <row r="44" spans="1:78" x14ac:dyDescent="0.3">
      <c r="A44" s="29" t="s">
        <v>146</v>
      </c>
      <c r="BU44" s="17"/>
    </row>
    <row r="45" spans="1:78" x14ac:dyDescent="0.3">
      <c r="A45" t="s">
        <v>152</v>
      </c>
      <c r="F45" s="25" t="s">
        <v>68</v>
      </c>
      <c r="G45" s="42">
        <v>100000</v>
      </c>
      <c r="H45" s="28">
        <v>0.15</v>
      </c>
      <c r="I45" t="s">
        <v>64</v>
      </c>
      <c r="M45" s="118">
        <v>0</v>
      </c>
      <c r="N45" s="118">
        <f>M45</f>
        <v>0</v>
      </c>
      <c r="O45" s="118">
        <f t="shared" ref="O45:BT45" si="157">N45</f>
        <v>0</v>
      </c>
      <c r="P45" s="118">
        <f t="shared" si="157"/>
        <v>0</v>
      </c>
      <c r="Q45" s="118">
        <f t="shared" si="157"/>
        <v>0</v>
      </c>
      <c r="R45" s="118">
        <f t="shared" si="157"/>
        <v>0</v>
      </c>
      <c r="S45" s="118">
        <f t="shared" si="157"/>
        <v>0</v>
      </c>
      <c r="T45" s="118">
        <f t="shared" si="157"/>
        <v>0</v>
      </c>
      <c r="U45" s="118">
        <f t="shared" si="157"/>
        <v>0</v>
      </c>
      <c r="V45" s="118">
        <f t="shared" si="157"/>
        <v>0</v>
      </c>
      <c r="W45" s="118">
        <f t="shared" si="157"/>
        <v>0</v>
      </c>
      <c r="X45" s="118">
        <f t="shared" si="157"/>
        <v>0</v>
      </c>
      <c r="Y45" s="118">
        <f>X45</f>
        <v>0</v>
      </c>
      <c r="Z45" s="118">
        <f t="shared" si="157"/>
        <v>0</v>
      </c>
      <c r="AA45" s="118">
        <f t="shared" si="157"/>
        <v>0</v>
      </c>
      <c r="AB45" s="118">
        <f t="shared" si="157"/>
        <v>0</v>
      </c>
      <c r="AC45" s="118">
        <f t="shared" si="157"/>
        <v>0</v>
      </c>
      <c r="AD45" s="118">
        <f t="shared" si="157"/>
        <v>0</v>
      </c>
      <c r="AE45" s="27">
        <v>1</v>
      </c>
      <c r="AF45" s="118">
        <f t="shared" si="157"/>
        <v>1</v>
      </c>
      <c r="AG45" s="118">
        <f t="shared" si="157"/>
        <v>1</v>
      </c>
      <c r="AH45" s="118">
        <f t="shared" si="157"/>
        <v>1</v>
      </c>
      <c r="AI45" s="118">
        <f t="shared" si="157"/>
        <v>1</v>
      </c>
      <c r="AJ45" s="118">
        <f t="shared" si="157"/>
        <v>1</v>
      </c>
      <c r="AK45" s="27">
        <v>1</v>
      </c>
      <c r="AL45" s="118">
        <f t="shared" si="157"/>
        <v>1</v>
      </c>
      <c r="AM45" s="118">
        <f t="shared" si="157"/>
        <v>1</v>
      </c>
      <c r="AN45" s="118">
        <f t="shared" si="157"/>
        <v>1</v>
      </c>
      <c r="AO45" s="118">
        <f t="shared" si="157"/>
        <v>1</v>
      </c>
      <c r="AP45" s="118">
        <f t="shared" si="157"/>
        <v>1</v>
      </c>
      <c r="AQ45" s="118">
        <f t="shared" si="157"/>
        <v>1</v>
      </c>
      <c r="AR45" s="118">
        <f t="shared" si="157"/>
        <v>1</v>
      </c>
      <c r="AS45" s="118">
        <f t="shared" si="157"/>
        <v>1</v>
      </c>
      <c r="AT45" s="118">
        <f t="shared" si="157"/>
        <v>1</v>
      </c>
      <c r="AU45" s="118">
        <f t="shared" si="157"/>
        <v>1</v>
      </c>
      <c r="AV45" s="118">
        <f t="shared" si="157"/>
        <v>1</v>
      </c>
      <c r="AW45" s="118">
        <f t="shared" si="157"/>
        <v>1</v>
      </c>
      <c r="AX45" s="118">
        <f t="shared" si="157"/>
        <v>1</v>
      </c>
      <c r="AY45" s="118">
        <f t="shared" si="157"/>
        <v>1</v>
      </c>
      <c r="AZ45" s="118">
        <f t="shared" si="157"/>
        <v>1</v>
      </c>
      <c r="BA45" s="118">
        <f t="shared" si="157"/>
        <v>1</v>
      </c>
      <c r="BB45" s="118">
        <f t="shared" si="157"/>
        <v>1</v>
      </c>
      <c r="BC45" s="118">
        <f t="shared" si="157"/>
        <v>1</v>
      </c>
      <c r="BD45" s="118">
        <f t="shared" si="157"/>
        <v>1</v>
      </c>
      <c r="BE45" s="118">
        <f t="shared" si="157"/>
        <v>1</v>
      </c>
      <c r="BF45" s="118">
        <f t="shared" si="157"/>
        <v>1</v>
      </c>
      <c r="BG45" s="118">
        <f t="shared" si="157"/>
        <v>1</v>
      </c>
      <c r="BH45" s="118">
        <f t="shared" si="157"/>
        <v>1</v>
      </c>
      <c r="BI45" s="118">
        <f t="shared" si="157"/>
        <v>1</v>
      </c>
      <c r="BJ45" s="118">
        <f t="shared" si="157"/>
        <v>1</v>
      </c>
      <c r="BK45" s="118">
        <f t="shared" si="157"/>
        <v>1</v>
      </c>
      <c r="BL45" s="118">
        <f t="shared" si="157"/>
        <v>1</v>
      </c>
      <c r="BM45" s="118">
        <f t="shared" si="157"/>
        <v>1</v>
      </c>
      <c r="BN45" s="118">
        <f t="shared" si="157"/>
        <v>1</v>
      </c>
      <c r="BO45" s="118">
        <f t="shared" si="157"/>
        <v>1</v>
      </c>
      <c r="BP45" s="118">
        <f t="shared" si="157"/>
        <v>1</v>
      </c>
      <c r="BQ45" s="118">
        <f t="shared" si="157"/>
        <v>1</v>
      </c>
      <c r="BR45" s="118">
        <f t="shared" si="157"/>
        <v>1</v>
      </c>
      <c r="BS45" s="118">
        <f t="shared" si="157"/>
        <v>1</v>
      </c>
      <c r="BT45" s="118">
        <f t="shared" si="157"/>
        <v>1</v>
      </c>
      <c r="BU45" s="17"/>
    </row>
    <row r="46" spans="1:78" x14ac:dyDescent="0.3">
      <c r="A46" t="s">
        <v>153</v>
      </c>
      <c r="F46" s="25" t="s">
        <v>68</v>
      </c>
      <c r="G46" s="42">
        <v>75000</v>
      </c>
      <c r="H46" s="28">
        <v>0.15</v>
      </c>
      <c r="I46" t="s">
        <v>64</v>
      </c>
      <c r="M46" s="27">
        <v>1</v>
      </c>
      <c r="N46" s="119">
        <f>M46</f>
        <v>1</v>
      </c>
      <c r="O46" s="119">
        <f t="shared" ref="O46:X46" si="158">N46</f>
        <v>1</v>
      </c>
      <c r="P46" s="119">
        <f t="shared" si="158"/>
        <v>1</v>
      </c>
      <c r="Q46" s="119">
        <f t="shared" si="158"/>
        <v>1</v>
      </c>
      <c r="R46" s="119">
        <f t="shared" si="158"/>
        <v>1</v>
      </c>
      <c r="S46" s="119">
        <f t="shared" si="158"/>
        <v>1</v>
      </c>
      <c r="T46" s="119">
        <f t="shared" si="158"/>
        <v>1</v>
      </c>
      <c r="U46" s="119">
        <f t="shared" si="158"/>
        <v>1</v>
      </c>
      <c r="V46" s="119">
        <f t="shared" si="158"/>
        <v>1</v>
      </c>
      <c r="W46" s="119">
        <f t="shared" si="158"/>
        <v>1</v>
      </c>
      <c r="X46" s="119">
        <f t="shared" si="158"/>
        <v>1</v>
      </c>
      <c r="Y46" s="27">
        <v>2</v>
      </c>
      <c r="Z46" s="119">
        <f>Y46</f>
        <v>2</v>
      </c>
      <c r="AA46" s="119">
        <f t="shared" ref="AA46:BT46" si="159">Z46</f>
        <v>2</v>
      </c>
      <c r="AB46" s="119">
        <f t="shared" si="159"/>
        <v>2</v>
      </c>
      <c r="AC46" s="119">
        <f t="shared" si="159"/>
        <v>2</v>
      </c>
      <c r="AD46" s="119">
        <f t="shared" si="159"/>
        <v>2</v>
      </c>
      <c r="AE46" s="119">
        <f t="shared" si="159"/>
        <v>2</v>
      </c>
      <c r="AF46" s="119">
        <f t="shared" si="159"/>
        <v>2</v>
      </c>
      <c r="AG46" s="119">
        <f t="shared" si="159"/>
        <v>2</v>
      </c>
      <c r="AH46" s="119">
        <f t="shared" si="159"/>
        <v>2</v>
      </c>
      <c r="AI46" s="119">
        <f t="shared" si="159"/>
        <v>2</v>
      </c>
      <c r="AJ46" s="119">
        <f t="shared" si="159"/>
        <v>2</v>
      </c>
      <c r="AK46" s="119">
        <v>4</v>
      </c>
      <c r="AL46" s="119">
        <f t="shared" si="159"/>
        <v>4</v>
      </c>
      <c r="AM46" s="119">
        <f t="shared" si="159"/>
        <v>4</v>
      </c>
      <c r="AN46" s="119">
        <f t="shared" si="159"/>
        <v>4</v>
      </c>
      <c r="AO46" s="119">
        <f t="shared" si="159"/>
        <v>4</v>
      </c>
      <c r="AP46" s="119">
        <f t="shared" si="159"/>
        <v>4</v>
      </c>
      <c r="AQ46" s="119">
        <f t="shared" si="159"/>
        <v>4</v>
      </c>
      <c r="AR46" s="119">
        <f t="shared" si="159"/>
        <v>4</v>
      </c>
      <c r="AS46" s="119">
        <f t="shared" si="159"/>
        <v>4</v>
      </c>
      <c r="AT46" s="119">
        <f t="shared" si="159"/>
        <v>4</v>
      </c>
      <c r="AU46" s="119">
        <f t="shared" si="159"/>
        <v>4</v>
      </c>
      <c r="AV46" s="119">
        <f t="shared" si="159"/>
        <v>4</v>
      </c>
      <c r="AW46" s="119">
        <f t="shared" si="159"/>
        <v>4</v>
      </c>
      <c r="AX46" s="119">
        <f t="shared" si="159"/>
        <v>4</v>
      </c>
      <c r="AY46" s="119">
        <f t="shared" si="159"/>
        <v>4</v>
      </c>
      <c r="AZ46" s="119">
        <f t="shared" si="159"/>
        <v>4</v>
      </c>
      <c r="BA46" s="119">
        <f t="shared" si="159"/>
        <v>4</v>
      </c>
      <c r="BB46" s="119">
        <f t="shared" si="159"/>
        <v>4</v>
      </c>
      <c r="BC46" s="119">
        <f t="shared" si="159"/>
        <v>4</v>
      </c>
      <c r="BD46" s="119">
        <f t="shared" si="159"/>
        <v>4</v>
      </c>
      <c r="BE46" s="119">
        <f t="shared" si="159"/>
        <v>4</v>
      </c>
      <c r="BF46" s="119">
        <f t="shared" si="159"/>
        <v>4</v>
      </c>
      <c r="BG46" s="119">
        <f t="shared" si="159"/>
        <v>4</v>
      </c>
      <c r="BH46" s="119">
        <f t="shared" si="159"/>
        <v>4</v>
      </c>
      <c r="BI46" s="119">
        <f t="shared" si="159"/>
        <v>4</v>
      </c>
      <c r="BJ46" s="119">
        <f t="shared" si="159"/>
        <v>4</v>
      </c>
      <c r="BK46" s="119">
        <f t="shared" si="159"/>
        <v>4</v>
      </c>
      <c r="BL46" s="119">
        <f t="shared" si="159"/>
        <v>4</v>
      </c>
      <c r="BM46" s="119">
        <f t="shared" si="159"/>
        <v>4</v>
      </c>
      <c r="BN46" s="119">
        <f t="shared" si="159"/>
        <v>4</v>
      </c>
      <c r="BO46" s="119">
        <f t="shared" si="159"/>
        <v>4</v>
      </c>
      <c r="BP46" s="119">
        <f t="shared" si="159"/>
        <v>4</v>
      </c>
      <c r="BQ46" s="119">
        <f t="shared" si="159"/>
        <v>4</v>
      </c>
      <c r="BR46" s="119">
        <f t="shared" si="159"/>
        <v>4</v>
      </c>
      <c r="BS46" s="119">
        <f t="shared" si="159"/>
        <v>4</v>
      </c>
      <c r="BT46" s="119">
        <f t="shared" si="159"/>
        <v>4</v>
      </c>
      <c r="BU46" s="17"/>
    </row>
    <row r="47" spans="1:78" x14ac:dyDescent="0.3">
      <c r="A47" t="s">
        <v>154</v>
      </c>
      <c r="F47" s="25" t="s">
        <v>68</v>
      </c>
      <c r="G47" s="42">
        <v>50000</v>
      </c>
      <c r="H47" s="28">
        <v>0.15</v>
      </c>
      <c r="I47" t="s">
        <v>64</v>
      </c>
      <c r="M47" s="119">
        <v>0</v>
      </c>
      <c r="N47" s="119">
        <f>M47</f>
        <v>0</v>
      </c>
      <c r="O47" s="119">
        <f t="shared" ref="O47:BT47" si="160">N47</f>
        <v>0</v>
      </c>
      <c r="P47" s="119">
        <f t="shared" si="160"/>
        <v>0</v>
      </c>
      <c r="Q47" s="119">
        <f t="shared" si="160"/>
        <v>0</v>
      </c>
      <c r="R47" s="119">
        <f t="shared" si="160"/>
        <v>0</v>
      </c>
      <c r="S47" s="119">
        <f t="shared" si="160"/>
        <v>0</v>
      </c>
      <c r="T47" s="119">
        <f t="shared" si="160"/>
        <v>0</v>
      </c>
      <c r="U47" s="119">
        <f t="shared" si="160"/>
        <v>0</v>
      </c>
      <c r="V47" s="119">
        <f t="shared" si="160"/>
        <v>0</v>
      </c>
      <c r="W47" s="119">
        <f t="shared" si="160"/>
        <v>0</v>
      </c>
      <c r="X47" s="119">
        <f t="shared" si="160"/>
        <v>0</v>
      </c>
      <c r="Y47" s="119">
        <f t="shared" si="160"/>
        <v>0</v>
      </c>
      <c r="Z47" s="119">
        <f t="shared" si="160"/>
        <v>0</v>
      </c>
      <c r="AA47" s="119">
        <f t="shared" si="160"/>
        <v>0</v>
      </c>
      <c r="AB47" s="119">
        <f t="shared" si="160"/>
        <v>0</v>
      </c>
      <c r="AC47" s="119">
        <f t="shared" si="160"/>
        <v>0</v>
      </c>
      <c r="AD47" s="119">
        <f t="shared" si="160"/>
        <v>0</v>
      </c>
      <c r="AE47" s="27">
        <v>1</v>
      </c>
      <c r="AF47" s="119">
        <f t="shared" si="160"/>
        <v>1</v>
      </c>
      <c r="AG47" s="119">
        <f t="shared" si="160"/>
        <v>1</v>
      </c>
      <c r="AH47" s="119">
        <f t="shared" si="160"/>
        <v>1</v>
      </c>
      <c r="AI47" s="119">
        <f t="shared" si="160"/>
        <v>1</v>
      </c>
      <c r="AJ47" s="119">
        <f t="shared" si="160"/>
        <v>1</v>
      </c>
      <c r="AK47" s="119">
        <v>2</v>
      </c>
      <c r="AL47" s="119">
        <f t="shared" si="160"/>
        <v>2</v>
      </c>
      <c r="AM47" s="119">
        <f t="shared" si="160"/>
        <v>2</v>
      </c>
      <c r="AN47" s="119">
        <f t="shared" si="160"/>
        <v>2</v>
      </c>
      <c r="AO47" s="119">
        <f t="shared" si="160"/>
        <v>2</v>
      </c>
      <c r="AP47" s="119">
        <f t="shared" si="160"/>
        <v>2</v>
      </c>
      <c r="AQ47" s="119">
        <f t="shared" si="160"/>
        <v>2</v>
      </c>
      <c r="AR47" s="119">
        <f t="shared" si="160"/>
        <v>2</v>
      </c>
      <c r="AS47" s="119">
        <f t="shared" si="160"/>
        <v>2</v>
      </c>
      <c r="AT47" s="119">
        <f t="shared" si="160"/>
        <v>2</v>
      </c>
      <c r="AU47" s="119">
        <f t="shared" si="160"/>
        <v>2</v>
      </c>
      <c r="AV47" s="119">
        <f t="shared" si="160"/>
        <v>2</v>
      </c>
      <c r="AW47" s="119">
        <f t="shared" si="160"/>
        <v>2</v>
      </c>
      <c r="AX47" s="119">
        <f t="shared" si="160"/>
        <v>2</v>
      </c>
      <c r="AY47" s="119">
        <f t="shared" si="160"/>
        <v>2</v>
      </c>
      <c r="AZ47" s="119">
        <f t="shared" si="160"/>
        <v>2</v>
      </c>
      <c r="BA47" s="119">
        <f t="shared" si="160"/>
        <v>2</v>
      </c>
      <c r="BB47" s="119">
        <f t="shared" si="160"/>
        <v>2</v>
      </c>
      <c r="BC47" s="119">
        <f t="shared" si="160"/>
        <v>2</v>
      </c>
      <c r="BD47" s="119">
        <f t="shared" si="160"/>
        <v>2</v>
      </c>
      <c r="BE47" s="119">
        <f t="shared" si="160"/>
        <v>2</v>
      </c>
      <c r="BF47" s="119">
        <f t="shared" si="160"/>
        <v>2</v>
      </c>
      <c r="BG47" s="119">
        <f t="shared" si="160"/>
        <v>2</v>
      </c>
      <c r="BH47" s="119">
        <f t="shared" si="160"/>
        <v>2</v>
      </c>
      <c r="BI47" s="119">
        <f t="shared" si="160"/>
        <v>2</v>
      </c>
      <c r="BJ47" s="119">
        <f t="shared" si="160"/>
        <v>2</v>
      </c>
      <c r="BK47" s="119">
        <f t="shared" si="160"/>
        <v>2</v>
      </c>
      <c r="BL47" s="119">
        <f t="shared" si="160"/>
        <v>2</v>
      </c>
      <c r="BM47" s="119">
        <f t="shared" si="160"/>
        <v>2</v>
      </c>
      <c r="BN47" s="119">
        <f t="shared" si="160"/>
        <v>2</v>
      </c>
      <c r="BO47" s="119">
        <f t="shared" si="160"/>
        <v>2</v>
      </c>
      <c r="BP47" s="119">
        <f t="shared" si="160"/>
        <v>2</v>
      </c>
      <c r="BQ47" s="119">
        <f t="shared" si="160"/>
        <v>2</v>
      </c>
      <c r="BR47" s="119">
        <f t="shared" si="160"/>
        <v>2</v>
      </c>
      <c r="BS47" s="119">
        <f t="shared" si="160"/>
        <v>2</v>
      </c>
      <c r="BT47" s="119">
        <f t="shared" si="160"/>
        <v>2</v>
      </c>
      <c r="BU47" s="17"/>
    </row>
    <row r="48" spans="1:78" x14ac:dyDescent="0.3">
      <c r="A48" t="s">
        <v>155</v>
      </c>
      <c r="F48" s="25" t="s">
        <v>68</v>
      </c>
      <c r="G48" s="42">
        <v>50000</v>
      </c>
      <c r="H48" s="28">
        <v>0.15</v>
      </c>
      <c r="I48" t="s">
        <v>64</v>
      </c>
      <c r="M48" s="27">
        <v>1</v>
      </c>
      <c r="N48" s="119">
        <f>M48</f>
        <v>1</v>
      </c>
      <c r="O48" s="119">
        <f t="shared" ref="O48:BT48" si="161">N48</f>
        <v>1</v>
      </c>
      <c r="P48" s="119">
        <f t="shared" si="161"/>
        <v>1</v>
      </c>
      <c r="Q48" s="119">
        <f t="shared" si="161"/>
        <v>1</v>
      </c>
      <c r="R48" s="119">
        <f t="shared" si="161"/>
        <v>1</v>
      </c>
      <c r="S48" s="119">
        <f t="shared" si="161"/>
        <v>1</v>
      </c>
      <c r="T48" s="119">
        <f t="shared" si="161"/>
        <v>1</v>
      </c>
      <c r="U48" s="119">
        <f t="shared" si="161"/>
        <v>1</v>
      </c>
      <c r="V48" s="119">
        <f t="shared" si="161"/>
        <v>1</v>
      </c>
      <c r="W48" s="119">
        <f t="shared" si="161"/>
        <v>1</v>
      </c>
      <c r="X48" s="119">
        <f t="shared" si="161"/>
        <v>1</v>
      </c>
      <c r="Y48" s="119">
        <f t="shared" si="161"/>
        <v>1</v>
      </c>
      <c r="Z48" s="119">
        <f t="shared" si="161"/>
        <v>1</v>
      </c>
      <c r="AA48" s="119">
        <f t="shared" si="161"/>
        <v>1</v>
      </c>
      <c r="AB48" s="119">
        <f t="shared" si="161"/>
        <v>1</v>
      </c>
      <c r="AC48" s="119">
        <f t="shared" si="161"/>
        <v>1</v>
      </c>
      <c r="AD48" s="119">
        <f t="shared" si="161"/>
        <v>1</v>
      </c>
      <c r="AE48" s="27">
        <v>2</v>
      </c>
      <c r="AF48" s="119">
        <f t="shared" si="161"/>
        <v>2</v>
      </c>
      <c r="AG48" s="119">
        <f t="shared" si="161"/>
        <v>2</v>
      </c>
      <c r="AH48" s="119">
        <f t="shared" si="161"/>
        <v>2</v>
      </c>
      <c r="AI48" s="119">
        <f t="shared" si="161"/>
        <v>2</v>
      </c>
      <c r="AJ48" s="119">
        <f t="shared" si="161"/>
        <v>2</v>
      </c>
      <c r="AK48" s="119">
        <v>3</v>
      </c>
      <c r="AL48" s="119">
        <f t="shared" si="161"/>
        <v>3</v>
      </c>
      <c r="AM48" s="119">
        <f t="shared" si="161"/>
        <v>3</v>
      </c>
      <c r="AN48" s="119">
        <f t="shared" si="161"/>
        <v>3</v>
      </c>
      <c r="AO48" s="119">
        <f t="shared" si="161"/>
        <v>3</v>
      </c>
      <c r="AP48" s="119">
        <f t="shared" si="161"/>
        <v>3</v>
      </c>
      <c r="AQ48" s="119">
        <f t="shared" si="161"/>
        <v>3</v>
      </c>
      <c r="AR48" s="119">
        <f t="shared" si="161"/>
        <v>3</v>
      </c>
      <c r="AS48" s="119">
        <f t="shared" si="161"/>
        <v>3</v>
      </c>
      <c r="AT48" s="119">
        <f t="shared" si="161"/>
        <v>3</v>
      </c>
      <c r="AU48" s="119">
        <f t="shared" si="161"/>
        <v>3</v>
      </c>
      <c r="AV48" s="119">
        <f t="shared" si="161"/>
        <v>3</v>
      </c>
      <c r="AW48" s="119">
        <f t="shared" si="161"/>
        <v>3</v>
      </c>
      <c r="AX48" s="119">
        <f t="shared" si="161"/>
        <v>3</v>
      </c>
      <c r="AY48" s="119">
        <f t="shared" si="161"/>
        <v>3</v>
      </c>
      <c r="AZ48" s="119">
        <f t="shared" si="161"/>
        <v>3</v>
      </c>
      <c r="BA48" s="119">
        <f t="shared" si="161"/>
        <v>3</v>
      </c>
      <c r="BB48" s="119">
        <f t="shared" si="161"/>
        <v>3</v>
      </c>
      <c r="BC48" s="119">
        <f t="shared" si="161"/>
        <v>3</v>
      </c>
      <c r="BD48" s="119">
        <f t="shared" si="161"/>
        <v>3</v>
      </c>
      <c r="BE48" s="119">
        <f t="shared" si="161"/>
        <v>3</v>
      </c>
      <c r="BF48" s="119">
        <f t="shared" si="161"/>
        <v>3</v>
      </c>
      <c r="BG48" s="119">
        <f t="shared" si="161"/>
        <v>3</v>
      </c>
      <c r="BH48" s="119">
        <f t="shared" si="161"/>
        <v>3</v>
      </c>
      <c r="BI48" s="119">
        <f t="shared" si="161"/>
        <v>3</v>
      </c>
      <c r="BJ48" s="119">
        <f t="shared" si="161"/>
        <v>3</v>
      </c>
      <c r="BK48" s="119">
        <f t="shared" si="161"/>
        <v>3</v>
      </c>
      <c r="BL48" s="119">
        <f t="shared" si="161"/>
        <v>3</v>
      </c>
      <c r="BM48" s="119">
        <f t="shared" si="161"/>
        <v>3</v>
      </c>
      <c r="BN48" s="119">
        <f t="shared" si="161"/>
        <v>3</v>
      </c>
      <c r="BO48" s="119">
        <f t="shared" si="161"/>
        <v>3</v>
      </c>
      <c r="BP48" s="119">
        <f t="shared" si="161"/>
        <v>3</v>
      </c>
      <c r="BQ48" s="119">
        <f t="shared" si="161"/>
        <v>3</v>
      </c>
      <c r="BR48" s="119">
        <f t="shared" si="161"/>
        <v>3</v>
      </c>
      <c r="BS48" s="119">
        <f t="shared" si="161"/>
        <v>3</v>
      </c>
      <c r="BT48" s="119">
        <f t="shared" si="161"/>
        <v>3</v>
      </c>
      <c r="BU48" s="17"/>
    </row>
    <row r="49" spans="1:78" x14ac:dyDescent="0.3">
      <c r="A49" s="115" t="s">
        <v>91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55"/>
      <c r="BV49" s="116"/>
      <c r="BW49" s="116"/>
      <c r="BX49" s="116"/>
      <c r="BY49" s="116"/>
      <c r="BZ49" s="116"/>
    </row>
    <row r="50" spans="1:78" x14ac:dyDescent="0.3">
      <c r="A50" t="s">
        <v>159</v>
      </c>
      <c r="E50" s="31"/>
      <c r="F50" s="128" t="s">
        <v>163</v>
      </c>
      <c r="G50" s="42">
        <v>7000</v>
      </c>
      <c r="H50" s="42">
        <f>G50*(1+6%)^5</f>
        <v>9367.5790432000031</v>
      </c>
      <c r="I50" s="31"/>
      <c r="M50" s="42">
        <f>G50</f>
        <v>7000</v>
      </c>
      <c r="N50" s="42">
        <f t="shared" ref="N50" si="162">M50+($H50-$G50)/COUNT($N$4:$BT$4)</f>
        <v>7040.1284583593224</v>
      </c>
      <c r="O50" s="42">
        <f t="shared" ref="O50" si="163">N50+($H50-$G50)/COUNT($N$4:$BT$4)</f>
        <v>7080.2569167186448</v>
      </c>
      <c r="P50" s="42">
        <f t="shared" ref="P50" si="164">O50+($H50-$G50)/COUNT($N$4:$BT$4)</f>
        <v>7120.3853750779672</v>
      </c>
      <c r="Q50" s="42">
        <f t="shared" ref="Q50" si="165">P50+($H50-$G50)/COUNT($N$4:$BT$4)</f>
        <v>7160.5138334372896</v>
      </c>
      <c r="R50" s="42">
        <f t="shared" ref="R50" si="166">Q50+($H50-$G50)/COUNT($N$4:$BT$4)</f>
        <v>7200.642291796612</v>
      </c>
      <c r="S50" s="42">
        <f t="shared" ref="S50" si="167">R50+($H50-$G50)/COUNT($N$4:$BT$4)</f>
        <v>7240.7707501559344</v>
      </c>
      <c r="T50" s="42">
        <f t="shared" ref="T50" si="168">S50+($H50-$G50)/COUNT($N$4:$BT$4)</f>
        <v>7280.8992085152568</v>
      </c>
      <c r="U50" s="42">
        <f t="shared" ref="U50" si="169">T50+($H50-$G50)/COUNT($N$4:$BT$4)</f>
        <v>7321.0276668745792</v>
      </c>
      <c r="V50" s="42">
        <f t="shared" ref="V50" si="170">U50+($H50-$G50)/COUNT($N$4:$BT$4)</f>
        <v>7361.1561252339015</v>
      </c>
      <c r="W50" s="42">
        <f t="shared" ref="W50" si="171">V50+($H50-$G50)/COUNT($N$4:$BT$4)</f>
        <v>7401.2845835932239</v>
      </c>
      <c r="X50" s="42">
        <f t="shared" ref="X50" si="172">W50+($H50-$G50)/COUNT($N$4:$BT$4)</f>
        <v>7441.4130419525463</v>
      </c>
      <c r="Y50" s="42">
        <f t="shared" ref="Y50" si="173">X50+($H50-$G50)/COUNT($N$4:$BT$4)</f>
        <v>7481.5415003118687</v>
      </c>
      <c r="Z50" s="42">
        <f t="shared" ref="Z50" si="174">Y50+($H50-$G50)/COUNT($N$4:$BT$4)</f>
        <v>7521.6699586711911</v>
      </c>
      <c r="AA50" s="42">
        <f t="shared" ref="AA50" si="175">Z50+($H50-$G50)/COUNT($N$4:$BT$4)</f>
        <v>7561.7984170305135</v>
      </c>
      <c r="AB50" s="42">
        <f t="shared" ref="AB50" si="176">AA50+($H50-$G50)/COUNT($N$4:$BT$4)</f>
        <v>7601.9268753898359</v>
      </c>
      <c r="AC50" s="42">
        <f t="shared" ref="AC50" si="177">AB50+($H50-$G50)/COUNT($N$4:$BT$4)</f>
        <v>7642.0553337491583</v>
      </c>
      <c r="AD50" s="42">
        <f t="shared" ref="AD50" si="178">AC50+($H50-$G50)/COUNT($N$4:$BT$4)</f>
        <v>7682.1837921084807</v>
      </c>
      <c r="AE50" s="42">
        <f t="shared" ref="AE50" si="179">AD50+($H50-$G50)/COUNT($N$4:$BT$4)</f>
        <v>7722.3122504678031</v>
      </c>
      <c r="AF50" s="42">
        <f t="shared" ref="AF50" si="180">AE50+($H50-$G50)/COUNT($N$4:$BT$4)</f>
        <v>7762.4407088271255</v>
      </c>
      <c r="AG50" s="42">
        <f t="shared" ref="AG50" si="181">AF50+($H50-$G50)/COUNT($N$4:$BT$4)</f>
        <v>7802.5691671864479</v>
      </c>
      <c r="AH50" s="42">
        <f t="shared" ref="AH50" si="182">AG50+($H50-$G50)/COUNT($N$4:$BT$4)</f>
        <v>7842.6976255457703</v>
      </c>
      <c r="AI50" s="42">
        <f t="shared" ref="AI50" si="183">AH50+($H50-$G50)/COUNT($N$4:$BT$4)</f>
        <v>7882.8260839050927</v>
      </c>
      <c r="AJ50" s="42">
        <f t="shared" ref="AJ50" si="184">AI50+($H50-$G50)/COUNT($N$4:$BT$4)</f>
        <v>7922.9545422644151</v>
      </c>
      <c r="AK50" s="42">
        <f t="shared" ref="AK50" si="185">AJ50+($H50-$G50)/COUNT($N$4:$BT$4)</f>
        <v>7963.0830006237375</v>
      </c>
      <c r="AL50" s="42">
        <f t="shared" ref="AL50" si="186">AK50+($H50-$G50)/COUNT($N$4:$BT$4)</f>
        <v>8003.2114589830599</v>
      </c>
      <c r="AM50" s="42">
        <f t="shared" ref="AM50" si="187">AL50+($H50-$G50)/COUNT($N$4:$BT$4)</f>
        <v>8043.3399173423823</v>
      </c>
      <c r="AN50" s="42">
        <f t="shared" ref="AN50" si="188">AM50+($H50-$G50)/COUNT($N$4:$BT$4)</f>
        <v>8083.4683757017046</v>
      </c>
      <c r="AO50" s="42">
        <f t="shared" ref="AO50" si="189">AN50+($H50-$G50)/COUNT($N$4:$BT$4)</f>
        <v>8123.596834061027</v>
      </c>
      <c r="AP50" s="42">
        <f t="shared" ref="AP50" si="190">AO50+($H50-$G50)/COUNT($N$4:$BT$4)</f>
        <v>8163.7252924203494</v>
      </c>
      <c r="AQ50" s="42">
        <f t="shared" ref="AQ50" si="191">AP50+($H50-$G50)/COUNT($N$4:$BT$4)</f>
        <v>8203.8537507796718</v>
      </c>
      <c r="AR50" s="42">
        <f t="shared" ref="AR50" si="192">AQ50+($H50-$G50)/COUNT($N$4:$BT$4)</f>
        <v>8243.9822091389942</v>
      </c>
      <c r="AS50" s="42">
        <f t="shared" ref="AS50" si="193">AR50+($H50-$G50)/COUNT($N$4:$BT$4)</f>
        <v>8284.1106674983166</v>
      </c>
      <c r="AT50" s="42">
        <f t="shared" ref="AT50" si="194">AS50+($H50-$G50)/COUNT($N$4:$BT$4)</f>
        <v>8324.239125857639</v>
      </c>
      <c r="AU50" s="42">
        <f t="shared" ref="AU50" si="195">AT50+($H50-$G50)/COUNT($N$4:$BT$4)</f>
        <v>8364.3675842169614</v>
      </c>
      <c r="AV50" s="42">
        <f t="shared" ref="AV50" si="196">AU50+($H50-$G50)/COUNT($N$4:$BT$4)</f>
        <v>8404.4960425762838</v>
      </c>
      <c r="AW50" s="42">
        <f t="shared" ref="AW50" si="197">AV50+($H50-$G50)/COUNT($N$4:$BT$4)</f>
        <v>8444.6245009356062</v>
      </c>
      <c r="AX50" s="42">
        <f t="shared" ref="AX50" si="198">AW50+($H50-$G50)/COUNT($N$4:$BT$4)</f>
        <v>8484.7529592949286</v>
      </c>
      <c r="AY50" s="42">
        <f t="shared" ref="AY50" si="199">AX50+($H50-$G50)/COUNT($N$4:$BT$4)</f>
        <v>8524.881417654251</v>
      </c>
      <c r="AZ50" s="42">
        <f t="shared" ref="AZ50" si="200">AY50+($H50-$G50)/COUNT($N$4:$BT$4)</f>
        <v>8565.0098760135734</v>
      </c>
      <c r="BA50" s="42">
        <f t="shared" ref="BA50" si="201">AZ50+($H50-$G50)/COUNT($N$4:$BT$4)</f>
        <v>8605.1383343728958</v>
      </c>
      <c r="BB50" s="42">
        <f t="shared" ref="BB50" si="202">BA50+($H50-$G50)/COUNT($N$4:$BT$4)</f>
        <v>8645.2667927322182</v>
      </c>
      <c r="BC50" s="42">
        <f t="shared" ref="BC50" si="203">BB50+($H50-$G50)/COUNT($N$4:$BT$4)</f>
        <v>8685.3952510915406</v>
      </c>
      <c r="BD50" s="42">
        <f t="shared" ref="BD50" si="204">BC50+($H50-$G50)/COUNT($N$4:$BT$4)</f>
        <v>8725.523709450863</v>
      </c>
      <c r="BE50" s="42">
        <f t="shared" ref="BE50" si="205">BD50+($H50-$G50)/COUNT($N$4:$BT$4)</f>
        <v>8765.6521678101853</v>
      </c>
      <c r="BF50" s="42">
        <f t="shared" ref="BF50" si="206">BE50+($H50-$G50)/COUNT($N$4:$BT$4)</f>
        <v>8805.7806261695077</v>
      </c>
      <c r="BG50" s="42">
        <f t="shared" ref="BG50" si="207">BF50+($H50-$G50)/COUNT($N$4:$BT$4)</f>
        <v>8845.9090845288301</v>
      </c>
      <c r="BH50" s="42">
        <f t="shared" ref="BH50" si="208">BG50+($H50-$G50)/COUNT($N$4:$BT$4)</f>
        <v>8886.0375428881525</v>
      </c>
      <c r="BI50" s="42">
        <f t="shared" ref="BI50" si="209">BH50+($H50-$G50)/COUNT($N$4:$BT$4)</f>
        <v>8926.1660012474749</v>
      </c>
      <c r="BJ50" s="42">
        <f t="shared" ref="BJ50" si="210">BI50+($H50-$G50)/COUNT($N$4:$BT$4)</f>
        <v>8966.2944596067973</v>
      </c>
      <c r="BK50" s="42">
        <f t="shared" ref="BK50" si="211">BJ50+($H50-$G50)/COUNT($N$4:$BT$4)</f>
        <v>9006.4229179661197</v>
      </c>
      <c r="BL50" s="42">
        <f t="shared" ref="BL50" si="212">BK50+($H50-$G50)/COUNT($N$4:$BT$4)</f>
        <v>9046.5513763254421</v>
      </c>
      <c r="BM50" s="42">
        <f t="shared" ref="BM50" si="213">BL50+($H50-$G50)/COUNT($N$4:$BT$4)</f>
        <v>9086.6798346847645</v>
      </c>
      <c r="BN50" s="42">
        <f t="shared" ref="BN50" si="214">BM50+($H50-$G50)/COUNT($N$4:$BT$4)</f>
        <v>9126.8082930440869</v>
      </c>
      <c r="BO50" s="42">
        <f t="shared" ref="BO50" si="215">BN50+($H50-$G50)/COUNT($N$4:$BT$4)</f>
        <v>9166.9367514034093</v>
      </c>
      <c r="BP50" s="42">
        <f t="shared" ref="BP50" si="216">BO50+($H50-$G50)/COUNT($N$4:$BT$4)</f>
        <v>9207.0652097627317</v>
      </c>
      <c r="BQ50" s="42">
        <f t="shared" ref="BQ50" si="217">BP50+($H50-$G50)/COUNT($N$4:$BT$4)</f>
        <v>9247.1936681220541</v>
      </c>
      <c r="BR50" s="42">
        <f t="shared" ref="BR50" si="218">BQ50+($H50-$G50)/COUNT($N$4:$BT$4)</f>
        <v>9287.3221264813765</v>
      </c>
      <c r="BS50" s="42">
        <f t="shared" ref="BS50" si="219">BR50+($H50-$G50)/COUNT($N$4:$BT$4)</f>
        <v>9327.4505848406989</v>
      </c>
      <c r="BT50" s="42">
        <f t="shared" ref="BT50" si="220">BS50+($H50-$G50)/COUNT($N$4:$BT$4)</f>
        <v>9367.5790432000213</v>
      </c>
      <c r="BU50" s="17"/>
      <c r="BV50" s="24">
        <f t="shared" ref="BV50:BZ51" si="221">SUMIF($M$3:$BT$3,BV$3,$M50:$BT50)</f>
        <v>86648.478251715278</v>
      </c>
      <c r="BW50" s="24">
        <f t="shared" si="221"/>
        <v>92426.976255457703</v>
      </c>
      <c r="BX50" s="24">
        <f t="shared" si="221"/>
        <v>98205.474259200128</v>
      </c>
      <c r="BY50" s="24">
        <f t="shared" si="221"/>
        <v>103983.97226294255</v>
      </c>
      <c r="BZ50" s="24">
        <f t="shared" si="221"/>
        <v>109762.47026668498</v>
      </c>
    </row>
    <row r="51" spans="1:78" x14ac:dyDescent="0.3">
      <c r="A51" t="s">
        <v>160</v>
      </c>
      <c r="E51" s="31"/>
      <c r="F51" s="128" t="s">
        <v>164</v>
      </c>
      <c r="G51" s="42">
        <v>2000</v>
      </c>
      <c r="H51" s="42">
        <f>G51*(1+6%)^5</f>
        <v>2676.4511552000008</v>
      </c>
      <c r="I51" s="31"/>
      <c r="M51" s="42">
        <f>G51</f>
        <v>2000</v>
      </c>
      <c r="N51" s="42">
        <f t="shared" ref="N51" si="222">M51+($H51-$G51)/COUNT($N$4:$BT$4)</f>
        <v>2011.4652738169491</v>
      </c>
      <c r="O51" s="42">
        <f t="shared" ref="O51" si="223">N51+($H51-$G51)/COUNT($N$4:$BT$4)</f>
        <v>2022.9305476338982</v>
      </c>
      <c r="P51" s="42">
        <f t="shared" ref="P51" si="224">O51+($H51-$G51)/COUNT($N$4:$BT$4)</f>
        <v>2034.3958214508473</v>
      </c>
      <c r="Q51" s="42">
        <f t="shared" ref="Q51" si="225">P51+($H51-$G51)/COUNT($N$4:$BT$4)</f>
        <v>2045.8610952677964</v>
      </c>
      <c r="R51" s="42">
        <f t="shared" ref="R51" si="226">Q51+($H51-$G51)/COUNT($N$4:$BT$4)</f>
        <v>2057.3263690847457</v>
      </c>
      <c r="S51" s="42">
        <f t="shared" ref="S51" si="227">R51+($H51-$G51)/COUNT($N$4:$BT$4)</f>
        <v>2068.791642901695</v>
      </c>
      <c r="T51" s="42">
        <f t="shared" ref="T51" si="228">S51+($H51-$G51)/COUNT($N$4:$BT$4)</f>
        <v>2080.2569167186443</v>
      </c>
      <c r="U51" s="42">
        <f t="shared" ref="U51" si="229">T51+($H51-$G51)/COUNT($N$4:$BT$4)</f>
        <v>2091.7221905355937</v>
      </c>
      <c r="V51" s="42">
        <f t="shared" ref="V51" si="230">U51+($H51-$G51)/COUNT($N$4:$BT$4)</f>
        <v>2103.187464352543</v>
      </c>
      <c r="W51" s="42">
        <f t="shared" ref="W51" si="231">V51+($H51-$G51)/COUNT($N$4:$BT$4)</f>
        <v>2114.6527381694923</v>
      </c>
      <c r="X51" s="42">
        <f t="shared" ref="X51" si="232">W51+($H51-$G51)/COUNT($N$4:$BT$4)</f>
        <v>2126.1180119864416</v>
      </c>
      <c r="Y51" s="42">
        <f t="shared" ref="Y51" si="233">X51+($H51-$G51)/COUNT($N$4:$BT$4)</f>
        <v>2137.5832858033909</v>
      </c>
      <c r="Z51" s="42">
        <f t="shared" ref="Z51" si="234">Y51+($H51-$G51)/COUNT($N$4:$BT$4)</f>
        <v>2149.0485596203403</v>
      </c>
      <c r="AA51" s="42">
        <f t="shared" ref="AA51" si="235">Z51+($H51-$G51)/COUNT($N$4:$BT$4)</f>
        <v>2160.5138334372896</v>
      </c>
      <c r="AB51" s="42">
        <f t="shared" ref="AB51" si="236">AA51+($H51-$G51)/COUNT($N$4:$BT$4)</f>
        <v>2171.9791072542389</v>
      </c>
      <c r="AC51" s="42">
        <f t="shared" ref="AC51" si="237">AB51+($H51-$G51)/COUNT($N$4:$BT$4)</f>
        <v>2183.4443810711882</v>
      </c>
      <c r="AD51" s="42">
        <f t="shared" ref="AD51" si="238">AC51+($H51-$G51)/COUNT($N$4:$BT$4)</f>
        <v>2194.9096548881375</v>
      </c>
      <c r="AE51" s="42">
        <f t="shared" ref="AE51" si="239">AD51+($H51-$G51)/COUNT($N$4:$BT$4)</f>
        <v>2206.3749287050869</v>
      </c>
      <c r="AF51" s="42">
        <f t="shared" ref="AF51" si="240">AE51+($H51-$G51)/COUNT($N$4:$BT$4)</f>
        <v>2217.8402025220362</v>
      </c>
      <c r="AG51" s="42">
        <f t="shared" ref="AG51" si="241">AF51+($H51-$G51)/COUNT($N$4:$BT$4)</f>
        <v>2229.3054763389855</v>
      </c>
      <c r="AH51" s="42">
        <f t="shared" ref="AH51" si="242">AG51+($H51-$G51)/COUNT($N$4:$BT$4)</f>
        <v>2240.7707501559348</v>
      </c>
      <c r="AI51" s="42">
        <f t="shared" ref="AI51" si="243">AH51+($H51-$G51)/COUNT($N$4:$BT$4)</f>
        <v>2252.2360239728841</v>
      </c>
      <c r="AJ51" s="42">
        <f t="shared" ref="AJ51" si="244">AI51+($H51-$G51)/COUNT($N$4:$BT$4)</f>
        <v>2263.7012977898335</v>
      </c>
      <c r="AK51" s="42">
        <f t="shared" ref="AK51" si="245">AJ51+($H51-$G51)/COUNT($N$4:$BT$4)</f>
        <v>2275.1665716067828</v>
      </c>
      <c r="AL51" s="42">
        <f t="shared" ref="AL51" si="246">AK51+($H51-$G51)/COUNT($N$4:$BT$4)</f>
        <v>2286.6318454237321</v>
      </c>
      <c r="AM51" s="42">
        <f t="shared" ref="AM51" si="247">AL51+($H51-$G51)/COUNT($N$4:$BT$4)</f>
        <v>2298.0971192406814</v>
      </c>
      <c r="AN51" s="42">
        <f t="shared" ref="AN51" si="248">AM51+($H51-$G51)/COUNT($N$4:$BT$4)</f>
        <v>2309.5623930576307</v>
      </c>
      <c r="AO51" s="42">
        <f t="shared" ref="AO51" si="249">AN51+($H51-$G51)/COUNT($N$4:$BT$4)</f>
        <v>2321.0276668745801</v>
      </c>
      <c r="AP51" s="42">
        <f t="shared" ref="AP51" si="250">AO51+($H51-$G51)/COUNT($N$4:$BT$4)</f>
        <v>2332.4929406915294</v>
      </c>
      <c r="AQ51" s="42">
        <f t="shared" ref="AQ51" si="251">AP51+($H51-$G51)/COUNT($N$4:$BT$4)</f>
        <v>2343.9582145084787</v>
      </c>
      <c r="AR51" s="42">
        <f t="shared" ref="AR51" si="252">AQ51+($H51-$G51)/COUNT($N$4:$BT$4)</f>
        <v>2355.423488325428</v>
      </c>
      <c r="AS51" s="42">
        <f t="shared" ref="AS51" si="253">AR51+($H51-$G51)/COUNT($N$4:$BT$4)</f>
        <v>2366.8887621423773</v>
      </c>
      <c r="AT51" s="42">
        <f t="shared" ref="AT51" si="254">AS51+($H51-$G51)/COUNT($N$4:$BT$4)</f>
        <v>2378.3540359593267</v>
      </c>
      <c r="AU51" s="42">
        <f t="shared" ref="AU51" si="255">AT51+($H51-$G51)/COUNT($N$4:$BT$4)</f>
        <v>2389.819309776276</v>
      </c>
      <c r="AV51" s="42">
        <f t="shared" ref="AV51" si="256">AU51+($H51-$G51)/COUNT($N$4:$BT$4)</f>
        <v>2401.2845835932253</v>
      </c>
      <c r="AW51" s="42">
        <f t="shared" ref="AW51" si="257">AV51+($H51-$G51)/COUNT($N$4:$BT$4)</f>
        <v>2412.7498574101746</v>
      </c>
      <c r="AX51" s="42">
        <f t="shared" ref="AX51" si="258">AW51+($H51-$G51)/COUNT($N$4:$BT$4)</f>
        <v>2424.2151312271239</v>
      </c>
      <c r="AY51" s="42">
        <f t="shared" ref="AY51" si="259">AX51+($H51-$G51)/COUNT($N$4:$BT$4)</f>
        <v>2435.6804050440733</v>
      </c>
      <c r="AZ51" s="42">
        <f t="shared" ref="AZ51" si="260">AY51+($H51-$G51)/COUNT($N$4:$BT$4)</f>
        <v>2447.1456788610226</v>
      </c>
      <c r="BA51" s="42">
        <f t="shared" ref="BA51" si="261">AZ51+($H51-$G51)/COUNT($N$4:$BT$4)</f>
        <v>2458.6109526779719</v>
      </c>
      <c r="BB51" s="42">
        <f t="shared" ref="BB51" si="262">BA51+($H51-$G51)/COUNT($N$4:$BT$4)</f>
        <v>2470.0762264949212</v>
      </c>
      <c r="BC51" s="42">
        <f t="shared" ref="BC51" si="263">BB51+($H51-$G51)/COUNT($N$4:$BT$4)</f>
        <v>2481.5415003118705</v>
      </c>
      <c r="BD51" s="42">
        <f t="shared" ref="BD51" si="264">BC51+($H51-$G51)/COUNT($N$4:$BT$4)</f>
        <v>2493.0067741288199</v>
      </c>
      <c r="BE51" s="42">
        <f t="shared" ref="BE51" si="265">BD51+($H51-$G51)/COUNT($N$4:$BT$4)</f>
        <v>2504.4720479457692</v>
      </c>
      <c r="BF51" s="42">
        <f t="shared" ref="BF51" si="266">BE51+($H51-$G51)/COUNT($N$4:$BT$4)</f>
        <v>2515.9373217627185</v>
      </c>
      <c r="BG51" s="42">
        <f t="shared" ref="BG51" si="267">BF51+($H51-$G51)/COUNT($N$4:$BT$4)</f>
        <v>2527.4025955796678</v>
      </c>
      <c r="BH51" s="42">
        <f t="shared" ref="BH51" si="268">BG51+($H51-$G51)/COUNT($N$4:$BT$4)</f>
        <v>2538.8678693966172</v>
      </c>
      <c r="BI51" s="42">
        <f t="shared" ref="BI51" si="269">BH51+($H51-$G51)/COUNT($N$4:$BT$4)</f>
        <v>2550.3331432135665</v>
      </c>
      <c r="BJ51" s="42">
        <f t="shared" ref="BJ51" si="270">BI51+($H51-$G51)/COUNT($N$4:$BT$4)</f>
        <v>2561.7984170305158</v>
      </c>
      <c r="BK51" s="42">
        <f t="shared" ref="BK51" si="271">BJ51+($H51-$G51)/COUNT($N$4:$BT$4)</f>
        <v>2573.2636908474651</v>
      </c>
      <c r="BL51" s="42">
        <f t="shared" ref="BL51" si="272">BK51+($H51-$G51)/COUNT($N$4:$BT$4)</f>
        <v>2584.7289646644144</v>
      </c>
      <c r="BM51" s="42">
        <f t="shared" ref="BM51" si="273">BL51+($H51-$G51)/COUNT($N$4:$BT$4)</f>
        <v>2596.1942384813638</v>
      </c>
      <c r="BN51" s="42">
        <f t="shared" ref="BN51" si="274">BM51+($H51-$G51)/COUNT($N$4:$BT$4)</f>
        <v>2607.6595122983131</v>
      </c>
      <c r="BO51" s="42">
        <f t="shared" ref="BO51" si="275">BN51+($H51-$G51)/COUNT($N$4:$BT$4)</f>
        <v>2619.1247861152624</v>
      </c>
      <c r="BP51" s="42">
        <f t="shared" ref="BP51" si="276">BO51+($H51-$G51)/COUNT($N$4:$BT$4)</f>
        <v>2630.5900599322117</v>
      </c>
      <c r="BQ51" s="42">
        <f t="shared" ref="BQ51" si="277">BP51+($H51-$G51)/COUNT($N$4:$BT$4)</f>
        <v>2642.055333749161</v>
      </c>
      <c r="BR51" s="42">
        <f t="shared" ref="BR51" si="278">BQ51+($H51-$G51)/COUNT($N$4:$BT$4)</f>
        <v>2653.5206075661104</v>
      </c>
      <c r="BS51" s="42">
        <f t="shared" ref="BS51" si="279">BR51+($H51-$G51)/COUNT($N$4:$BT$4)</f>
        <v>2664.9858813830597</v>
      </c>
      <c r="BT51" s="42">
        <f t="shared" ref="BT51" si="280">BS51+($H51-$G51)/COUNT($N$4:$BT$4)</f>
        <v>2676.451155200009</v>
      </c>
      <c r="BU51" s="17"/>
      <c r="BV51" s="24">
        <f t="shared" si="221"/>
        <v>24756.708071918645</v>
      </c>
      <c r="BW51" s="24">
        <f t="shared" si="221"/>
        <v>26407.707501559344</v>
      </c>
      <c r="BX51" s="24">
        <f t="shared" si="221"/>
        <v>28058.706931200053</v>
      </c>
      <c r="BY51" s="24">
        <f t="shared" si="221"/>
        <v>29709.706360840748</v>
      </c>
      <c r="BZ51" s="24">
        <f t="shared" si="221"/>
        <v>31360.705790481454</v>
      </c>
    </row>
    <row r="52" spans="1:78" x14ac:dyDescent="0.3">
      <c r="A52" s="29" t="s">
        <v>161</v>
      </c>
      <c r="E52" s="31"/>
      <c r="F52" s="31"/>
      <c r="G52" s="121"/>
      <c r="H52" s="57"/>
      <c r="I52" s="31"/>
      <c r="BU52" s="17"/>
    </row>
    <row r="53" spans="1:78" x14ac:dyDescent="0.3">
      <c r="A53" t="s">
        <v>165</v>
      </c>
      <c r="E53" s="31"/>
      <c r="F53" s="25" t="s">
        <v>68</v>
      </c>
      <c r="G53" s="42">
        <v>40000</v>
      </c>
      <c r="H53" s="28">
        <v>0.15</v>
      </c>
      <c r="I53" t="s">
        <v>64</v>
      </c>
      <c r="M53" s="27">
        <v>1</v>
      </c>
      <c r="N53" s="118">
        <f>M53</f>
        <v>1</v>
      </c>
      <c r="O53" s="118">
        <f t="shared" ref="O53:AD53" si="281">N53</f>
        <v>1</v>
      </c>
      <c r="P53" s="118">
        <f t="shared" si="281"/>
        <v>1</v>
      </c>
      <c r="Q53" s="118">
        <f t="shared" si="281"/>
        <v>1</v>
      </c>
      <c r="R53" s="118">
        <f t="shared" si="281"/>
        <v>1</v>
      </c>
      <c r="S53" s="118">
        <f t="shared" si="281"/>
        <v>1</v>
      </c>
      <c r="T53" s="118">
        <f t="shared" si="281"/>
        <v>1</v>
      </c>
      <c r="U53" s="118">
        <f t="shared" si="281"/>
        <v>1</v>
      </c>
      <c r="V53" s="118">
        <f t="shared" si="281"/>
        <v>1</v>
      </c>
      <c r="W53" s="118">
        <f t="shared" si="281"/>
        <v>1</v>
      </c>
      <c r="X53" s="118">
        <f t="shared" si="281"/>
        <v>1</v>
      </c>
      <c r="Y53" s="27">
        <v>2</v>
      </c>
      <c r="Z53" s="118">
        <f t="shared" si="281"/>
        <v>2</v>
      </c>
      <c r="AA53" s="118">
        <f t="shared" si="281"/>
        <v>2</v>
      </c>
      <c r="AB53" s="118">
        <f t="shared" si="281"/>
        <v>2</v>
      </c>
      <c r="AC53" s="118">
        <f t="shared" si="281"/>
        <v>2</v>
      </c>
      <c r="AD53" s="118">
        <f t="shared" si="281"/>
        <v>2</v>
      </c>
      <c r="AE53" s="118">
        <f>AD53</f>
        <v>2</v>
      </c>
      <c r="AF53" s="118">
        <f t="shared" ref="AF53:AJ53" si="282">AE53</f>
        <v>2</v>
      </c>
      <c r="AG53" s="118">
        <f t="shared" si="282"/>
        <v>2</v>
      </c>
      <c r="AH53" s="118">
        <f t="shared" si="282"/>
        <v>2</v>
      </c>
      <c r="AI53" s="118">
        <f t="shared" si="282"/>
        <v>2</v>
      </c>
      <c r="AJ53" s="118">
        <f t="shared" si="282"/>
        <v>2</v>
      </c>
      <c r="AK53" s="118">
        <f>AJ53</f>
        <v>2</v>
      </c>
      <c r="AL53" s="118">
        <f t="shared" ref="AL53:BT53" si="283">AK53</f>
        <v>2</v>
      </c>
      <c r="AM53" s="118">
        <f t="shared" si="283"/>
        <v>2</v>
      </c>
      <c r="AN53" s="118">
        <f t="shared" si="283"/>
        <v>2</v>
      </c>
      <c r="AO53" s="118">
        <f t="shared" si="283"/>
        <v>2</v>
      </c>
      <c r="AP53" s="118">
        <f t="shared" si="283"/>
        <v>2</v>
      </c>
      <c r="AQ53" s="118">
        <f t="shared" si="283"/>
        <v>2</v>
      </c>
      <c r="AR53" s="118">
        <f t="shared" si="283"/>
        <v>2</v>
      </c>
      <c r="AS53" s="118">
        <f t="shared" si="283"/>
        <v>2</v>
      </c>
      <c r="AT53" s="118">
        <f t="shared" si="283"/>
        <v>2</v>
      </c>
      <c r="AU53" s="118">
        <f t="shared" si="283"/>
        <v>2</v>
      </c>
      <c r="AV53" s="118">
        <f t="shared" si="283"/>
        <v>2</v>
      </c>
      <c r="AW53" s="118">
        <f t="shared" si="283"/>
        <v>2</v>
      </c>
      <c r="AX53" s="118">
        <f t="shared" si="283"/>
        <v>2</v>
      </c>
      <c r="AY53" s="118">
        <f t="shared" si="283"/>
        <v>2</v>
      </c>
      <c r="AZ53" s="118">
        <f t="shared" si="283"/>
        <v>2</v>
      </c>
      <c r="BA53" s="118">
        <f t="shared" si="283"/>
        <v>2</v>
      </c>
      <c r="BB53" s="118">
        <f t="shared" si="283"/>
        <v>2</v>
      </c>
      <c r="BC53" s="118">
        <f t="shared" si="283"/>
        <v>2</v>
      </c>
      <c r="BD53" s="118">
        <f t="shared" si="283"/>
        <v>2</v>
      </c>
      <c r="BE53" s="118">
        <f t="shared" si="283"/>
        <v>2</v>
      </c>
      <c r="BF53" s="118">
        <f t="shared" si="283"/>
        <v>2</v>
      </c>
      <c r="BG53" s="118">
        <f t="shared" si="283"/>
        <v>2</v>
      </c>
      <c r="BH53" s="118">
        <f t="shared" si="283"/>
        <v>2</v>
      </c>
      <c r="BI53" s="118">
        <f t="shared" si="283"/>
        <v>2</v>
      </c>
      <c r="BJ53" s="118">
        <f t="shared" si="283"/>
        <v>2</v>
      </c>
      <c r="BK53" s="118">
        <f t="shared" si="283"/>
        <v>2</v>
      </c>
      <c r="BL53" s="118">
        <f t="shared" si="283"/>
        <v>2</v>
      </c>
      <c r="BM53" s="118">
        <f t="shared" si="283"/>
        <v>2</v>
      </c>
      <c r="BN53" s="118">
        <f t="shared" si="283"/>
        <v>2</v>
      </c>
      <c r="BO53" s="118">
        <f t="shared" si="283"/>
        <v>2</v>
      </c>
      <c r="BP53" s="118">
        <f t="shared" si="283"/>
        <v>2</v>
      </c>
      <c r="BQ53" s="118">
        <f t="shared" si="283"/>
        <v>2</v>
      </c>
      <c r="BR53" s="118">
        <f t="shared" si="283"/>
        <v>2</v>
      </c>
      <c r="BS53" s="118">
        <f t="shared" si="283"/>
        <v>2</v>
      </c>
      <c r="BT53" s="118">
        <f t="shared" si="283"/>
        <v>2</v>
      </c>
      <c r="BU53" s="17"/>
    </row>
    <row r="54" spans="1:78" x14ac:dyDescent="0.3">
      <c r="A54" t="s">
        <v>166</v>
      </c>
      <c r="E54" s="31"/>
      <c r="F54" s="25" t="s">
        <v>68</v>
      </c>
      <c r="G54" s="42">
        <v>50000</v>
      </c>
      <c r="H54" s="28">
        <v>0.15</v>
      </c>
      <c r="I54" t="s">
        <v>64</v>
      </c>
      <c r="M54" s="118">
        <v>0</v>
      </c>
      <c r="N54" s="119">
        <f>M54</f>
        <v>0</v>
      </c>
      <c r="O54" s="119">
        <f t="shared" ref="O54:X54" si="284">N54</f>
        <v>0</v>
      </c>
      <c r="P54" s="119">
        <f t="shared" si="284"/>
        <v>0</v>
      </c>
      <c r="Q54" s="119">
        <f t="shared" si="284"/>
        <v>0</v>
      </c>
      <c r="R54" s="119">
        <f t="shared" si="284"/>
        <v>0</v>
      </c>
      <c r="S54" s="119">
        <f t="shared" si="284"/>
        <v>0</v>
      </c>
      <c r="T54" s="119">
        <f t="shared" si="284"/>
        <v>0</v>
      </c>
      <c r="U54" s="119">
        <f t="shared" si="284"/>
        <v>0</v>
      </c>
      <c r="V54" s="119">
        <f t="shared" si="284"/>
        <v>0</v>
      </c>
      <c r="W54" s="119">
        <f t="shared" si="284"/>
        <v>0</v>
      </c>
      <c r="X54" s="119">
        <f t="shared" si="284"/>
        <v>0</v>
      </c>
      <c r="Y54" s="118">
        <v>0</v>
      </c>
      <c r="Z54" s="119">
        <f>Y54</f>
        <v>0</v>
      </c>
      <c r="AA54" s="119">
        <f t="shared" ref="AA54:AJ54" si="285">Z54</f>
        <v>0</v>
      </c>
      <c r="AB54" s="119">
        <f t="shared" si="285"/>
        <v>0</v>
      </c>
      <c r="AC54" s="119">
        <f t="shared" si="285"/>
        <v>0</v>
      </c>
      <c r="AD54" s="119">
        <f t="shared" si="285"/>
        <v>0</v>
      </c>
      <c r="AE54" s="119">
        <f t="shared" si="285"/>
        <v>0</v>
      </c>
      <c r="AF54" s="119">
        <f t="shared" si="285"/>
        <v>0</v>
      </c>
      <c r="AG54" s="119">
        <f t="shared" si="285"/>
        <v>0</v>
      </c>
      <c r="AH54" s="119">
        <f t="shared" si="285"/>
        <v>0</v>
      </c>
      <c r="AI54" s="119">
        <f t="shared" si="285"/>
        <v>0</v>
      </c>
      <c r="AJ54" s="119">
        <f t="shared" si="285"/>
        <v>0</v>
      </c>
      <c r="AK54" s="27">
        <v>1</v>
      </c>
      <c r="AL54" s="119">
        <f t="shared" ref="AL54:BT54" si="286">AK54</f>
        <v>1</v>
      </c>
      <c r="AM54" s="119">
        <f t="shared" si="286"/>
        <v>1</v>
      </c>
      <c r="AN54" s="119">
        <f t="shared" si="286"/>
        <v>1</v>
      </c>
      <c r="AO54" s="119">
        <f t="shared" si="286"/>
        <v>1</v>
      </c>
      <c r="AP54" s="119">
        <f t="shared" si="286"/>
        <v>1</v>
      </c>
      <c r="AQ54" s="119">
        <f t="shared" si="286"/>
        <v>1</v>
      </c>
      <c r="AR54" s="119">
        <f t="shared" si="286"/>
        <v>1</v>
      </c>
      <c r="AS54" s="119">
        <f t="shared" si="286"/>
        <v>1</v>
      </c>
      <c r="AT54" s="119">
        <f t="shared" si="286"/>
        <v>1</v>
      </c>
      <c r="AU54" s="119">
        <f t="shared" si="286"/>
        <v>1</v>
      </c>
      <c r="AV54" s="119">
        <f t="shared" si="286"/>
        <v>1</v>
      </c>
      <c r="AW54" s="119">
        <f t="shared" si="286"/>
        <v>1</v>
      </c>
      <c r="AX54" s="119">
        <f t="shared" si="286"/>
        <v>1</v>
      </c>
      <c r="AY54" s="119">
        <f t="shared" si="286"/>
        <v>1</v>
      </c>
      <c r="AZ54" s="119">
        <f t="shared" si="286"/>
        <v>1</v>
      </c>
      <c r="BA54" s="119">
        <f t="shared" si="286"/>
        <v>1</v>
      </c>
      <c r="BB54" s="119">
        <f t="shared" si="286"/>
        <v>1</v>
      </c>
      <c r="BC54" s="119">
        <f t="shared" si="286"/>
        <v>1</v>
      </c>
      <c r="BD54" s="119">
        <f t="shared" si="286"/>
        <v>1</v>
      </c>
      <c r="BE54" s="119">
        <f t="shared" si="286"/>
        <v>1</v>
      </c>
      <c r="BF54" s="119">
        <f t="shared" si="286"/>
        <v>1</v>
      </c>
      <c r="BG54" s="119">
        <f t="shared" si="286"/>
        <v>1</v>
      </c>
      <c r="BH54" s="119">
        <f t="shared" si="286"/>
        <v>1</v>
      </c>
      <c r="BI54" s="119">
        <f t="shared" si="286"/>
        <v>1</v>
      </c>
      <c r="BJ54" s="119">
        <f t="shared" si="286"/>
        <v>1</v>
      </c>
      <c r="BK54" s="119">
        <f t="shared" si="286"/>
        <v>1</v>
      </c>
      <c r="BL54" s="119">
        <f t="shared" si="286"/>
        <v>1</v>
      </c>
      <c r="BM54" s="119">
        <f t="shared" si="286"/>
        <v>1</v>
      </c>
      <c r="BN54" s="119">
        <f t="shared" si="286"/>
        <v>1</v>
      </c>
      <c r="BO54" s="119">
        <f t="shared" si="286"/>
        <v>1</v>
      </c>
      <c r="BP54" s="119">
        <f t="shared" si="286"/>
        <v>1</v>
      </c>
      <c r="BQ54" s="119">
        <f t="shared" si="286"/>
        <v>1</v>
      </c>
      <c r="BR54" s="119">
        <f t="shared" si="286"/>
        <v>1</v>
      </c>
      <c r="BS54" s="119">
        <f t="shared" si="286"/>
        <v>1</v>
      </c>
      <c r="BT54" s="119">
        <f t="shared" si="286"/>
        <v>1</v>
      </c>
      <c r="BU54" s="17"/>
    </row>
    <row r="55" spans="1:78" x14ac:dyDescent="0.3">
      <c r="A55" t="s">
        <v>167</v>
      </c>
      <c r="F55" s="25" t="s">
        <v>68</v>
      </c>
      <c r="G55" s="42">
        <v>60000</v>
      </c>
      <c r="H55" s="28">
        <v>0.15</v>
      </c>
      <c r="I55" t="s">
        <v>64</v>
      </c>
      <c r="M55" s="118">
        <v>0</v>
      </c>
      <c r="N55" s="119">
        <f>M55</f>
        <v>0</v>
      </c>
      <c r="O55" s="119">
        <f t="shared" ref="O55:AD55" si="287">N55</f>
        <v>0</v>
      </c>
      <c r="P55" s="119">
        <f t="shared" si="287"/>
        <v>0</v>
      </c>
      <c r="Q55" s="119">
        <f t="shared" si="287"/>
        <v>0</v>
      </c>
      <c r="R55" s="119">
        <f t="shared" si="287"/>
        <v>0</v>
      </c>
      <c r="S55" s="119">
        <f t="shared" si="287"/>
        <v>0</v>
      </c>
      <c r="T55" s="119">
        <f t="shared" si="287"/>
        <v>0</v>
      </c>
      <c r="U55" s="119">
        <f t="shared" si="287"/>
        <v>0</v>
      </c>
      <c r="V55" s="119">
        <f t="shared" si="287"/>
        <v>0</v>
      </c>
      <c r="W55" s="119">
        <f t="shared" si="287"/>
        <v>0</v>
      </c>
      <c r="X55" s="119">
        <f t="shared" si="287"/>
        <v>0</v>
      </c>
      <c r="Y55" s="27">
        <v>1</v>
      </c>
      <c r="Z55" s="119">
        <f t="shared" si="287"/>
        <v>1</v>
      </c>
      <c r="AA55" s="119">
        <f t="shared" si="287"/>
        <v>1</v>
      </c>
      <c r="AB55" s="119">
        <f t="shared" si="287"/>
        <v>1</v>
      </c>
      <c r="AC55" s="119">
        <f t="shared" si="287"/>
        <v>1</v>
      </c>
      <c r="AD55" s="119">
        <f t="shared" si="287"/>
        <v>1</v>
      </c>
      <c r="AE55" s="118">
        <f>AD55</f>
        <v>1</v>
      </c>
      <c r="AF55" s="119">
        <f t="shared" ref="AF55:AJ55" si="288">AE55</f>
        <v>1</v>
      </c>
      <c r="AG55" s="119">
        <f t="shared" si="288"/>
        <v>1</v>
      </c>
      <c r="AH55" s="119">
        <f t="shared" si="288"/>
        <v>1</v>
      </c>
      <c r="AI55" s="119">
        <f t="shared" si="288"/>
        <v>1</v>
      </c>
      <c r="AJ55" s="119">
        <f t="shared" si="288"/>
        <v>1</v>
      </c>
      <c r="AK55" s="27">
        <v>2</v>
      </c>
      <c r="AL55" s="119">
        <f t="shared" ref="AL55:BT55" si="289">AK55</f>
        <v>2</v>
      </c>
      <c r="AM55" s="119">
        <f t="shared" si="289"/>
        <v>2</v>
      </c>
      <c r="AN55" s="119">
        <f t="shared" si="289"/>
        <v>2</v>
      </c>
      <c r="AO55" s="119">
        <f t="shared" si="289"/>
        <v>2</v>
      </c>
      <c r="AP55" s="119">
        <f t="shared" si="289"/>
        <v>2</v>
      </c>
      <c r="AQ55" s="119">
        <f t="shared" si="289"/>
        <v>2</v>
      </c>
      <c r="AR55" s="119">
        <f t="shared" si="289"/>
        <v>2</v>
      </c>
      <c r="AS55" s="119">
        <f t="shared" si="289"/>
        <v>2</v>
      </c>
      <c r="AT55" s="119">
        <f t="shared" si="289"/>
        <v>2</v>
      </c>
      <c r="AU55" s="119">
        <f t="shared" si="289"/>
        <v>2</v>
      </c>
      <c r="AV55" s="119">
        <f t="shared" si="289"/>
        <v>2</v>
      </c>
      <c r="AW55" s="119">
        <f t="shared" si="289"/>
        <v>2</v>
      </c>
      <c r="AX55" s="119">
        <f t="shared" si="289"/>
        <v>2</v>
      </c>
      <c r="AY55" s="119">
        <f t="shared" si="289"/>
        <v>2</v>
      </c>
      <c r="AZ55" s="119">
        <f t="shared" si="289"/>
        <v>2</v>
      </c>
      <c r="BA55" s="119">
        <f t="shared" si="289"/>
        <v>2</v>
      </c>
      <c r="BB55" s="119">
        <f t="shared" si="289"/>
        <v>2</v>
      </c>
      <c r="BC55" s="119">
        <f t="shared" si="289"/>
        <v>2</v>
      </c>
      <c r="BD55" s="119">
        <f t="shared" si="289"/>
        <v>2</v>
      </c>
      <c r="BE55" s="119">
        <f t="shared" si="289"/>
        <v>2</v>
      </c>
      <c r="BF55" s="119">
        <f t="shared" si="289"/>
        <v>2</v>
      </c>
      <c r="BG55" s="119">
        <f t="shared" si="289"/>
        <v>2</v>
      </c>
      <c r="BH55" s="119">
        <f t="shared" si="289"/>
        <v>2</v>
      </c>
      <c r="BI55" s="119">
        <f t="shared" si="289"/>
        <v>2</v>
      </c>
      <c r="BJ55" s="119">
        <f t="shared" si="289"/>
        <v>2</v>
      </c>
      <c r="BK55" s="119">
        <f t="shared" si="289"/>
        <v>2</v>
      </c>
      <c r="BL55" s="119">
        <f t="shared" si="289"/>
        <v>2</v>
      </c>
      <c r="BM55" s="119">
        <f t="shared" si="289"/>
        <v>2</v>
      </c>
      <c r="BN55" s="119">
        <f t="shared" si="289"/>
        <v>2</v>
      </c>
      <c r="BO55" s="119">
        <f t="shared" si="289"/>
        <v>2</v>
      </c>
      <c r="BP55" s="119">
        <f t="shared" si="289"/>
        <v>2</v>
      </c>
      <c r="BQ55" s="119">
        <f t="shared" si="289"/>
        <v>2</v>
      </c>
      <c r="BR55" s="119">
        <f t="shared" si="289"/>
        <v>2</v>
      </c>
      <c r="BS55" s="119">
        <f t="shared" si="289"/>
        <v>2</v>
      </c>
      <c r="BT55" s="119">
        <f t="shared" si="289"/>
        <v>2</v>
      </c>
      <c r="BU55" s="17" t="s">
        <v>24</v>
      </c>
    </row>
    <row r="56" spans="1:78" x14ac:dyDescent="0.3">
      <c r="A56" s="115" t="s">
        <v>168</v>
      </c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</row>
    <row r="57" spans="1:78" x14ac:dyDescent="0.3">
      <c r="A57" t="s">
        <v>169</v>
      </c>
      <c r="G57" s="42">
        <v>10000</v>
      </c>
      <c r="H57" s="42">
        <f>G57*10</f>
        <v>100000</v>
      </c>
      <c r="M57" s="42">
        <f>G57</f>
        <v>10000</v>
      </c>
      <c r="N57" s="42">
        <f t="shared" ref="N57" si="290">M57+($H57-$G57)/COUNT($N$4:$BT$4)</f>
        <v>11525.423728813559</v>
      </c>
      <c r="O57" s="42">
        <f t="shared" ref="O57" si="291">N57+($H57-$G57)/COUNT($N$4:$BT$4)</f>
        <v>13050.847457627118</v>
      </c>
      <c r="P57" s="42">
        <f t="shared" ref="P57" si="292">O57+($H57-$G57)/COUNT($N$4:$BT$4)</f>
        <v>14576.271186440677</v>
      </c>
      <c r="Q57" s="42">
        <f t="shared" ref="Q57" si="293">P57+($H57-$G57)/COUNT($N$4:$BT$4)</f>
        <v>16101.694915254237</v>
      </c>
      <c r="R57" s="42">
        <f t="shared" ref="R57" si="294">Q57+($H57-$G57)/COUNT($N$4:$BT$4)</f>
        <v>17627.118644067796</v>
      </c>
      <c r="S57" s="42">
        <f t="shared" ref="S57" si="295">R57+($H57-$G57)/COUNT($N$4:$BT$4)</f>
        <v>19152.542372881355</v>
      </c>
      <c r="T57" s="42">
        <f t="shared" ref="T57" si="296">S57+($H57-$G57)/COUNT($N$4:$BT$4)</f>
        <v>20677.966101694914</v>
      </c>
      <c r="U57" s="42">
        <f t="shared" ref="U57" si="297">T57+($H57-$G57)/COUNT($N$4:$BT$4)</f>
        <v>22203.389830508473</v>
      </c>
      <c r="V57" s="42">
        <f t="shared" ref="V57" si="298">U57+($H57-$G57)/COUNT($N$4:$BT$4)</f>
        <v>23728.813559322032</v>
      </c>
      <c r="W57" s="42">
        <f t="shared" ref="W57" si="299">V57+($H57-$G57)/COUNT($N$4:$BT$4)</f>
        <v>25254.237288135591</v>
      </c>
      <c r="X57" s="42">
        <f t="shared" ref="X57" si="300">W57+($H57-$G57)/COUNT($N$4:$BT$4)</f>
        <v>26779.661016949151</v>
      </c>
      <c r="Y57" s="42">
        <f t="shared" ref="Y57" si="301">X57+($H57-$G57)/COUNT($N$4:$BT$4)</f>
        <v>28305.08474576271</v>
      </c>
      <c r="Z57" s="42">
        <f t="shared" ref="Z57" si="302">Y57+($H57-$G57)/COUNT($N$4:$BT$4)</f>
        <v>29830.508474576269</v>
      </c>
      <c r="AA57" s="42">
        <f t="shared" ref="AA57" si="303">Z57+($H57-$G57)/COUNT($N$4:$BT$4)</f>
        <v>31355.932203389828</v>
      </c>
      <c r="AB57" s="42">
        <f t="shared" ref="AB57" si="304">AA57+($H57-$G57)/COUNT($N$4:$BT$4)</f>
        <v>32881.355932203391</v>
      </c>
      <c r="AC57" s="42">
        <f t="shared" ref="AC57" si="305">AB57+($H57-$G57)/COUNT($N$4:$BT$4)</f>
        <v>34406.779661016953</v>
      </c>
      <c r="AD57" s="42">
        <f t="shared" ref="AD57" si="306">AC57+($H57-$G57)/COUNT($N$4:$BT$4)</f>
        <v>35932.203389830516</v>
      </c>
      <c r="AE57" s="42">
        <f t="shared" ref="AE57" si="307">AD57+($H57-$G57)/COUNT($N$4:$BT$4)</f>
        <v>37457.627118644079</v>
      </c>
      <c r="AF57" s="42">
        <f t="shared" ref="AF57" si="308">AE57+($H57-$G57)/COUNT($N$4:$BT$4)</f>
        <v>38983.050847457642</v>
      </c>
      <c r="AG57" s="42">
        <f t="shared" ref="AG57" si="309">AF57+($H57-$G57)/COUNT($N$4:$BT$4)</f>
        <v>40508.474576271205</v>
      </c>
      <c r="AH57" s="42">
        <f t="shared" ref="AH57" si="310">AG57+($H57-$G57)/COUNT($N$4:$BT$4)</f>
        <v>42033.898305084767</v>
      </c>
      <c r="AI57" s="42">
        <f t="shared" ref="AI57" si="311">AH57+($H57-$G57)/COUNT($N$4:$BT$4)</f>
        <v>43559.32203389833</v>
      </c>
      <c r="AJ57" s="42">
        <f t="shared" ref="AJ57" si="312">AI57+($H57-$G57)/COUNT($N$4:$BT$4)</f>
        <v>45084.745762711893</v>
      </c>
      <c r="AK57" s="42">
        <f t="shared" ref="AK57" si="313">AJ57+($H57-$G57)/COUNT($N$4:$BT$4)</f>
        <v>46610.169491525456</v>
      </c>
      <c r="AL57" s="42">
        <f t="shared" ref="AL57" si="314">AK57+($H57-$G57)/COUNT($N$4:$BT$4)</f>
        <v>48135.593220339018</v>
      </c>
      <c r="AM57" s="42">
        <f t="shared" ref="AM57" si="315">AL57+($H57-$G57)/COUNT($N$4:$BT$4)</f>
        <v>49661.016949152581</v>
      </c>
      <c r="AN57" s="42">
        <f t="shared" ref="AN57" si="316">AM57+($H57-$G57)/COUNT($N$4:$BT$4)</f>
        <v>51186.440677966144</v>
      </c>
      <c r="AO57" s="42">
        <f t="shared" ref="AO57" si="317">AN57+($H57-$G57)/COUNT($N$4:$BT$4)</f>
        <v>52711.864406779707</v>
      </c>
      <c r="AP57" s="42">
        <f t="shared" ref="AP57" si="318">AO57+($H57-$G57)/COUNT($N$4:$BT$4)</f>
        <v>54237.28813559327</v>
      </c>
      <c r="AQ57" s="42">
        <f t="shared" ref="AQ57" si="319">AP57+($H57-$G57)/COUNT($N$4:$BT$4)</f>
        <v>55762.711864406832</v>
      </c>
      <c r="AR57" s="42">
        <f t="shared" ref="AR57" si="320">AQ57+($H57-$G57)/COUNT($N$4:$BT$4)</f>
        <v>57288.135593220395</v>
      </c>
      <c r="AS57" s="42">
        <f t="shared" ref="AS57" si="321">AR57+($H57-$G57)/COUNT($N$4:$BT$4)</f>
        <v>58813.559322033958</v>
      </c>
      <c r="AT57" s="42">
        <f t="shared" ref="AT57" si="322">AS57+($H57-$G57)/COUNT($N$4:$BT$4)</f>
        <v>60338.983050847521</v>
      </c>
      <c r="AU57" s="42">
        <f t="shared" ref="AU57" si="323">AT57+($H57-$G57)/COUNT($N$4:$BT$4)</f>
        <v>61864.406779661083</v>
      </c>
      <c r="AV57" s="42">
        <f t="shared" ref="AV57" si="324">AU57+($H57-$G57)/COUNT($N$4:$BT$4)</f>
        <v>63389.830508474646</v>
      </c>
      <c r="AW57" s="42">
        <f t="shared" ref="AW57" si="325">AV57+($H57-$G57)/COUNT($N$4:$BT$4)</f>
        <v>64915.254237288209</v>
      </c>
      <c r="AX57" s="42">
        <f t="shared" ref="AX57" si="326">AW57+($H57-$G57)/COUNT($N$4:$BT$4)</f>
        <v>66440.677966101764</v>
      </c>
      <c r="AY57" s="42">
        <f t="shared" ref="AY57" si="327">AX57+($H57-$G57)/COUNT($N$4:$BT$4)</f>
        <v>67966.101694915327</v>
      </c>
      <c r="AZ57" s="42">
        <f t="shared" ref="AZ57" si="328">AY57+($H57-$G57)/COUNT($N$4:$BT$4)</f>
        <v>69491.52542372889</v>
      </c>
      <c r="BA57" s="42">
        <f t="shared" ref="BA57" si="329">AZ57+($H57-$G57)/COUNT($N$4:$BT$4)</f>
        <v>71016.949152542453</v>
      </c>
      <c r="BB57" s="42">
        <f t="shared" ref="BB57" si="330">BA57+($H57-$G57)/COUNT($N$4:$BT$4)</f>
        <v>72542.372881356016</v>
      </c>
      <c r="BC57" s="42">
        <f t="shared" ref="BC57" si="331">BB57+($H57-$G57)/COUNT($N$4:$BT$4)</f>
        <v>74067.796610169578</v>
      </c>
      <c r="BD57" s="42">
        <f t="shared" ref="BD57" si="332">BC57+($H57-$G57)/COUNT($N$4:$BT$4)</f>
        <v>75593.220338983141</v>
      </c>
      <c r="BE57" s="42">
        <f t="shared" ref="BE57" si="333">BD57+($H57-$G57)/COUNT($N$4:$BT$4)</f>
        <v>77118.644067796704</v>
      </c>
      <c r="BF57" s="42">
        <f t="shared" ref="BF57" si="334">BE57+($H57-$G57)/COUNT($N$4:$BT$4)</f>
        <v>78644.067796610267</v>
      </c>
      <c r="BG57" s="42">
        <f t="shared" ref="BG57" si="335">BF57+($H57-$G57)/COUNT($N$4:$BT$4)</f>
        <v>80169.491525423829</v>
      </c>
      <c r="BH57" s="42">
        <f t="shared" ref="BH57" si="336">BG57+($H57-$G57)/COUNT($N$4:$BT$4)</f>
        <v>81694.915254237392</v>
      </c>
      <c r="BI57" s="42">
        <f t="shared" ref="BI57" si="337">BH57+($H57-$G57)/COUNT($N$4:$BT$4)</f>
        <v>83220.338983050955</v>
      </c>
      <c r="BJ57" s="42">
        <f t="shared" ref="BJ57" si="338">BI57+($H57-$G57)/COUNT($N$4:$BT$4)</f>
        <v>84745.762711864518</v>
      </c>
      <c r="BK57" s="42">
        <f t="shared" ref="BK57" si="339">BJ57+($H57-$G57)/COUNT($N$4:$BT$4)</f>
        <v>86271.186440678081</v>
      </c>
      <c r="BL57" s="42">
        <f t="shared" ref="BL57" si="340">BK57+($H57-$G57)/COUNT($N$4:$BT$4)</f>
        <v>87796.610169491643</v>
      </c>
      <c r="BM57" s="42">
        <f t="shared" ref="BM57" si="341">BL57+($H57-$G57)/COUNT($N$4:$BT$4)</f>
        <v>89322.033898305206</v>
      </c>
      <c r="BN57" s="42">
        <f t="shared" ref="BN57" si="342">BM57+($H57-$G57)/COUNT($N$4:$BT$4)</f>
        <v>90847.457627118769</v>
      </c>
      <c r="BO57" s="42">
        <f t="shared" ref="BO57" si="343">BN57+($H57-$G57)/COUNT($N$4:$BT$4)</f>
        <v>92372.881355932332</v>
      </c>
      <c r="BP57" s="42">
        <f t="shared" ref="BP57" si="344">BO57+($H57-$G57)/COUNT($N$4:$BT$4)</f>
        <v>93898.305084745894</v>
      </c>
      <c r="BQ57" s="42">
        <f t="shared" ref="BQ57" si="345">BP57+($H57-$G57)/COUNT($N$4:$BT$4)</f>
        <v>95423.728813559457</v>
      </c>
      <c r="BR57" s="42">
        <f t="shared" ref="BR57" si="346">BQ57+($H57-$G57)/COUNT($N$4:$BT$4)</f>
        <v>96949.15254237302</v>
      </c>
      <c r="BS57" s="42">
        <f t="shared" ref="BS57" si="347">BR57+($H57-$G57)/COUNT($N$4:$BT$4)</f>
        <v>98474.576271186583</v>
      </c>
      <c r="BT57" s="42">
        <f t="shared" ref="BT57" si="348">BS57+($H57-$G57)/COUNT($N$4:$BT$4)</f>
        <v>100000.00000000015</v>
      </c>
      <c r="BU57" s="17" t="s">
        <v>24</v>
      </c>
      <c r="BV57" s="24">
        <f t="shared" ref="BV57:BZ57" si="349">SUMIF($M$3:$BT$3,BV$3,$M57:$BT57)</f>
        <v>220677.96610169491</v>
      </c>
      <c r="BW57" s="24">
        <f t="shared" si="349"/>
        <v>440338.9830508476</v>
      </c>
      <c r="BX57" s="24">
        <f t="shared" si="349"/>
        <v>660000.00000000058</v>
      </c>
      <c r="BY57" s="24">
        <f t="shared" si="349"/>
        <v>879661.01694915362</v>
      </c>
      <c r="BZ57" s="24">
        <f t="shared" si="349"/>
        <v>1099322.0338983065</v>
      </c>
    </row>
    <row r="58" spans="1:78" x14ac:dyDescent="0.3">
      <c r="A58" s="29" t="s">
        <v>170</v>
      </c>
      <c r="BU58" s="17" t="s">
        <v>24</v>
      </c>
    </row>
    <row r="59" spans="1:78" x14ac:dyDescent="0.3">
      <c r="A59" t="s">
        <v>171</v>
      </c>
      <c r="F59" s="25" t="s">
        <v>68</v>
      </c>
      <c r="G59" s="42">
        <v>60000</v>
      </c>
      <c r="H59" s="28">
        <v>0.15</v>
      </c>
      <c r="I59" t="s">
        <v>64</v>
      </c>
      <c r="M59" s="26">
        <v>4</v>
      </c>
      <c r="N59">
        <f>M59</f>
        <v>4</v>
      </c>
      <c r="O59">
        <f t="shared" ref="O59:R59" si="350">N59</f>
        <v>4</v>
      </c>
      <c r="P59">
        <f t="shared" si="350"/>
        <v>4</v>
      </c>
      <c r="Q59">
        <f t="shared" si="350"/>
        <v>4</v>
      </c>
      <c r="R59">
        <f t="shared" si="350"/>
        <v>4</v>
      </c>
      <c r="S59" s="26">
        <v>5</v>
      </c>
      <c r="T59">
        <f>S59</f>
        <v>5</v>
      </c>
      <c r="U59">
        <f t="shared" ref="U59:X59" si="351">T59</f>
        <v>5</v>
      </c>
      <c r="V59">
        <f t="shared" si="351"/>
        <v>5</v>
      </c>
      <c r="W59">
        <f t="shared" si="351"/>
        <v>5</v>
      </c>
      <c r="X59">
        <f t="shared" si="351"/>
        <v>5</v>
      </c>
      <c r="Y59" s="26">
        <v>7</v>
      </c>
      <c r="Z59">
        <f>Y59</f>
        <v>7</v>
      </c>
      <c r="AA59">
        <f t="shared" ref="AA59:BT59" si="352">Z59</f>
        <v>7</v>
      </c>
      <c r="AB59">
        <f t="shared" si="352"/>
        <v>7</v>
      </c>
      <c r="AC59">
        <f t="shared" si="352"/>
        <v>7</v>
      </c>
      <c r="AD59">
        <f t="shared" si="352"/>
        <v>7</v>
      </c>
      <c r="AE59">
        <f t="shared" si="352"/>
        <v>7</v>
      </c>
      <c r="AF59">
        <f t="shared" si="352"/>
        <v>7</v>
      </c>
      <c r="AG59">
        <f t="shared" si="352"/>
        <v>7</v>
      </c>
      <c r="AH59">
        <f t="shared" si="352"/>
        <v>7</v>
      </c>
      <c r="AI59">
        <f t="shared" si="352"/>
        <v>7</v>
      </c>
      <c r="AJ59">
        <f t="shared" si="352"/>
        <v>7</v>
      </c>
      <c r="AK59" s="26">
        <v>10</v>
      </c>
      <c r="AL59">
        <f t="shared" si="352"/>
        <v>10</v>
      </c>
      <c r="AM59">
        <f t="shared" si="352"/>
        <v>10</v>
      </c>
      <c r="AN59">
        <f t="shared" si="352"/>
        <v>10</v>
      </c>
      <c r="AO59">
        <f t="shared" si="352"/>
        <v>10</v>
      </c>
      <c r="AP59">
        <f t="shared" si="352"/>
        <v>10</v>
      </c>
      <c r="AQ59">
        <f t="shared" si="352"/>
        <v>10</v>
      </c>
      <c r="AR59">
        <f t="shared" si="352"/>
        <v>10</v>
      </c>
      <c r="AS59">
        <f t="shared" si="352"/>
        <v>10</v>
      </c>
      <c r="AT59">
        <f t="shared" si="352"/>
        <v>10</v>
      </c>
      <c r="AU59">
        <f t="shared" si="352"/>
        <v>10</v>
      </c>
      <c r="AV59">
        <f t="shared" si="352"/>
        <v>10</v>
      </c>
      <c r="AW59">
        <f t="shared" si="352"/>
        <v>10</v>
      </c>
      <c r="AX59">
        <f t="shared" si="352"/>
        <v>10</v>
      </c>
      <c r="AY59">
        <f t="shared" si="352"/>
        <v>10</v>
      </c>
      <c r="AZ59">
        <f t="shared" si="352"/>
        <v>10</v>
      </c>
      <c r="BA59">
        <f t="shared" si="352"/>
        <v>10</v>
      </c>
      <c r="BB59">
        <f t="shared" si="352"/>
        <v>10</v>
      </c>
      <c r="BC59">
        <f t="shared" si="352"/>
        <v>10</v>
      </c>
      <c r="BD59">
        <f t="shared" si="352"/>
        <v>10</v>
      </c>
      <c r="BE59">
        <f t="shared" si="352"/>
        <v>10</v>
      </c>
      <c r="BF59">
        <f t="shared" si="352"/>
        <v>10</v>
      </c>
      <c r="BG59">
        <f t="shared" si="352"/>
        <v>10</v>
      </c>
      <c r="BH59">
        <f t="shared" si="352"/>
        <v>10</v>
      </c>
      <c r="BI59">
        <f t="shared" si="352"/>
        <v>10</v>
      </c>
      <c r="BJ59">
        <f t="shared" si="352"/>
        <v>10</v>
      </c>
      <c r="BK59">
        <f t="shared" si="352"/>
        <v>10</v>
      </c>
      <c r="BL59">
        <f t="shared" si="352"/>
        <v>10</v>
      </c>
      <c r="BM59">
        <f t="shared" si="352"/>
        <v>10</v>
      </c>
      <c r="BN59">
        <f t="shared" si="352"/>
        <v>10</v>
      </c>
      <c r="BO59">
        <f t="shared" si="352"/>
        <v>10</v>
      </c>
      <c r="BP59">
        <f t="shared" si="352"/>
        <v>10</v>
      </c>
      <c r="BQ59">
        <f t="shared" si="352"/>
        <v>10</v>
      </c>
      <c r="BR59">
        <f t="shared" si="352"/>
        <v>10</v>
      </c>
      <c r="BS59">
        <f t="shared" si="352"/>
        <v>10</v>
      </c>
      <c r="BT59">
        <f t="shared" si="352"/>
        <v>10</v>
      </c>
      <c r="BU59" s="17" t="s">
        <v>24</v>
      </c>
    </row>
    <row r="60" spans="1:78" x14ac:dyDescent="0.3">
      <c r="H60" s="72"/>
      <c r="BU60" s="17" t="s">
        <v>24</v>
      </c>
    </row>
    <row r="61" spans="1:78" x14ac:dyDescent="0.3">
      <c r="BU61" s="17" t="s">
        <v>24</v>
      </c>
    </row>
    <row r="62" spans="1:78" x14ac:dyDescent="0.3">
      <c r="BU62" s="17" t="s">
        <v>24</v>
      </c>
    </row>
    <row r="63" spans="1:78" x14ac:dyDescent="0.3">
      <c r="BU63" s="17" t="s">
        <v>24</v>
      </c>
    </row>
    <row r="64" spans="1:78" x14ac:dyDescent="0.3">
      <c r="BU64" s="17" t="s">
        <v>24</v>
      </c>
    </row>
    <row r="65" spans="73:73" x14ac:dyDescent="0.3">
      <c r="BU65" s="17" t="s">
        <v>24</v>
      </c>
    </row>
    <row r="66" spans="73:73" x14ac:dyDescent="0.3">
      <c r="BU66" s="17" t="s">
        <v>24</v>
      </c>
    </row>
  </sheetData>
  <mergeCells count="2">
    <mergeCell ref="M2:BT2"/>
    <mergeCell ref="BV2:BZ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CD8F-637F-534B-A5B3-B1388F266B76}">
  <dimension ref="A1:BZ54"/>
  <sheetViews>
    <sheetView showGridLines="0" zoomScale="135" workbookViewId="0">
      <pane xSplit="12" ySplit="4" topLeftCell="BS35" activePane="bottomRight" state="frozen"/>
      <selection pane="topRight" activeCell="M1" sqref="M1"/>
      <selection pane="bottomLeft" activeCell="A5" sqref="A5"/>
      <selection pane="bottomRight" activeCell="BT38" sqref="BT38"/>
    </sheetView>
  </sheetViews>
  <sheetFormatPr defaultColWidth="11.19921875" defaultRowHeight="15.6" x14ac:dyDescent="0.3"/>
  <cols>
    <col min="2" max="2" width="4.19921875" customWidth="1"/>
    <col min="3" max="12" width="2" customWidth="1"/>
    <col min="13" max="14" width="13.19921875" bestFit="1" customWidth="1"/>
    <col min="15" max="24" width="14.19921875" bestFit="1" customWidth="1"/>
    <col min="25" max="25" width="15.796875" bestFit="1" customWidth="1"/>
    <col min="26" max="26" width="14.19921875" bestFit="1" customWidth="1"/>
    <col min="27" max="54" width="15.69921875" bestFit="1" customWidth="1"/>
    <col min="55" max="72" width="16.796875" bestFit="1" customWidth="1"/>
    <col min="73" max="73" width="4.296875" customWidth="1"/>
    <col min="74" max="74" width="15.69921875" bestFit="1" customWidth="1"/>
    <col min="75" max="76" width="16.796875" bestFit="1" customWidth="1"/>
    <col min="77" max="78" width="18.69921875" bestFit="1" customWidth="1"/>
  </cols>
  <sheetData>
    <row r="1" spans="1:78" ht="21" x14ac:dyDescent="0.4">
      <c r="A1" s="1" t="s">
        <v>32</v>
      </c>
      <c r="B1" s="1"/>
      <c r="C1" s="2"/>
      <c r="D1" s="3"/>
      <c r="E1" s="3"/>
      <c r="F1" s="3"/>
      <c r="G1" s="3"/>
      <c r="H1" s="3"/>
      <c r="I1" s="3"/>
      <c r="J1" s="4"/>
      <c r="K1" s="3"/>
      <c r="L1" s="3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16.2" thickBot="1" x14ac:dyDescent="0.35">
      <c r="A2" s="7" t="s">
        <v>0</v>
      </c>
      <c r="B2" s="7"/>
      <c r="C2" s="2"/>
      <c r="D2" s="3"/>
      <c r="E2" s="3"/>
      <c r="F2" s="3"/>
      <c r="G2" s="3"/>
      <c r="H2" s="3"/>
      <c r="I2" s="3"/>
      <c r="J2" s="4"/>
      <c r="K2" s="3"/>
      <c r="L2" s="3"/>
      <c r="M2" s="270" t="s">
        <v>1</v>
      </c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3"/>
      <c r="BV2" s="270" t="s">
        <v>2</v>
      </c>
      <c r="BW2" s="270"/>
      <c r="BX2" s="270"/>
      <c r="BY2" s="270"/>
      <c r="BZ2" s="270"/>
    </row>
    <row r="3" spans="1:78" x14ac:dyDescent="0.3">
      <c r="A3" s="8" t="s">
        <v>3</v>
      </c>
      <c r="B3" s="9"/>
      <c r="C3" s="9"/>
      <c r="D3" s="10"/>
      <c r="E3" s="10"/>
      <c r="F3" s="10"/>
      <c r="G3" s="10"/>
      <c r="H3" s="10"/>
      <c r="I3" s="10"/>
      <c r="J3" s="3"/>
      <c r="K3" s="3"/>
      <c r="L3" s="3"/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f>X3+1</f>
        <v>2</v>
      </c>
      <c r="Z3" s="19">
        <f>Y3</f>
        <v>2</v>
      </c>
      <c r="AA3" s="19">
        <f t="shared" ref="AA3:AJ3" si="0">Z3</f>
        <v>2</v>
      </c>
      <c r="AB3" s="19">
        <f t="shared" si="0"/>
        <v>2</v>
      </c>
      <c r="AC3" s="19">
        <f t="shared" si="0"/>
        <v>2</v>
      </c>
      <c r="AD3" s="19">
        <f t="shared" si="0"/>
        <v>2</v>
      </c>
      <c r="AE3" s="19">
        <f t="shared" si="0"/>
        <v>2</v>
      </c>
      <c r="AF3" s="19">
        <f t="shared" si="0"/>
        <v>2</v>
      </c>
      <c r="AG3" s="19">
        <f t="shared" si="0"/>
        <v>2</v>
      </c>
      <c r="AH3" s="19">
        <f t="shared" si="0"/>
        <v>2</v>
      </c>
      <c r="AI3" s="19">
        <f t="shared" si="0"/>
        <v>2</v>
      </c>
      <c r="AJ3" s="19">
        <f t="shared" si="0"/>
        <v>2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4</v>
      </c>
      <c r="AX3" s="19">
        <v>4</v>
      </c>
      <c r="AY3" s="19">
        <v>4</v>
      </c>
      <c r="AZ3" s="19">
        <v>4</v>
      </c>
      <c r="BA3" s="19">
        <v>4</v>
      </c>
      <c r="BB3" s="19">
        <v>4</v>
      </c>
      <c r="BC3" s="19">
        <v>4</v>
      </c>
      <c r="BD3" s="19">
        <v>4</v>
      </c>
      <c r="BE3" s="19">
        <v>4</v>
      </c>
      <c r="BF3" s="19">
        <v>4</v>
      </c>
      <c r="BG3" s="19">
        <v>4</v>
      </c>
      <c r="BH3" s="19">
        <v>4</v>
      </c>
      <c r="BI3" s="19">
        <v>5</v>
      </c>
      <c r="BJ3" s="19">
        <v>5</v>
      </c>
      <c r="BK3" s="19">
        <v>5</v>
      </c>
      <c r="BL3" s="19">
        <v>5</v>
      </c>
      <c r="BM3" s="19">
        <v>5</v>
      </c>
      <c r="BN3" s="19">
        <v>5</v>
      </c>
      <c r="BO3" s="19">
        <v>5</v>
      </c>
      <c r="BP3" s="19">
        <v>5</v>
      </c>
      <c r="BQ3" s="19">
        <v>5</v>
      </c>
      <c r="BR3" s="19">
        <v>5</v>
      </c>
      <c r="BS3" s="19">
        <v>5</v>
      </c>
      <c r="BT3" s="19">
        <v>5</v>
      </c>
      <c r="BU3" s="11"/>
      <c r="BV3" s="21">
        <v>1</v>
      </c>
      <c r="BW3" s="21">
        <v>2</v>
      </c>
      <c r="BX3" s="21">
        <v>3</v>
      </c>
      <c r="BY3" s="21">
        <v>4</v>
      </c>
      <c r="BZ3" s="21">
        <v>5</v>
      </c>
    </row>
    <row r="4" spans="1:78" x14ac:dyDescent="0.3">
      <c r="A4" s="12" t="s">
        <v>4</v>
      </c>
      <c r="B4" s="13"/>
      <c r="C4" s="9"/>
      <c r="D4" s="10"/>
      <c r="E4" s="3"/>
      <c r="F4" s="3"/>
      <c r="G4" s="3"/>
      <c r="H4" s="3"/>
      <c r="I4" s="3"/>
      <c r="J4" s="3"/>
      <c r="K4" s="3"/>
      <c r="L4" s="3"/>
      <c r="M4" s="20">
        <v>1</v>
      </c>
      <c r="N4" s="20">
        <f>M4+1</f>
        <v>2</v>
      </c>
      <c r="O4" s="20">
        <f t="shared" ref="O4:BT4" si="1">N4+1</f>
        <v>3</v>
      </c>
      <c r="P4" s="20">
        <f t="shared" si="1"/>
        <v>4</v>
      </c>
      <c r="Q4" s="20">
        <f t="shared" si="1"/>
        <v>5</v>
      </c>
      <c r="R4" s="20">
        <f t="shared" si="1"/>
        <v>6</v>
      </c>
      <c r="S4" s="20">
        <f t="shared" si="1"/>
        <v>7</v>
      </c>
      <c r="T4" s="20">
        <f t="shared" si="1"/>
        <v>8</v>
      </c>
      <c r="U4" s="20">
        <f t="shared" si="1"/>
        <v>9</v>
      </c>
      <c r="V4" s="20">
        <f t="shared" si="1"/>
        <v>10</v>
      </c>
      <c r="W4" s="20">
        <f t="shared" si="1"/>
        <v>11</v>
      </c>
      <c r="X4" s="20">
        <f t="shared" si="1"/>
        <v>12</v>
      </c>
      <c r="Y4" s="20">
        <f t="shared" si="1"/>
        <v>13</v>
      </c>
      <c r="Z4" s="20">
        <f t="shared" si="1"/>
        <v>14</v>
      </c>
      <c r="AA4" s="20">
        <f t="shared" si="1"/>
        <v>15</v>
      </c>
      <c r="AB4" s="20">
        <f t="shared" si="1"/>
        <v>16</v>
      </c>
      <c r="AC4" s="20">
        <f t="shared" si="1"/>
        <v>17</v>
      </c>
      <c r="AD4" s="20">
        <f t="shared" si="1"/>
        <v>18</v>
      </c>
      <c r="AE4" s="20">
        <f t="shared" si="1"/>
        <v>19</v>
      </c>
      <c r="AF4" s="20">
        <f t="shared" si="1"/>
        <v>20</v>
      </c>
      <c r="AG4" s="20">
        <f t="shared" si="1"/>
        <v>21</v>
      </c>
      <c r="AH4" s="20">
        <f t="shared" si="1"/>
        <v>22</v>
      </c>
      <c r="AI4" s="20">
        <f t="shared" si="1"/>
        <v>23</v>
      </c>
      <c r="AJ4" s="20">
        <f t="shared" si="1"/>
        <v>24</v>
      </c>
      <c r="AK4" s="20">
        <f t="shared" si="1"/>
        <v>25</v>
      </c>
      <c r="AL4" s="20">
        <f t="shared" si="1"/>
        <v>26</v>
      </c>
      <c r="AM4" s="20">
        <f t="shared" si="1"/>
        <v>27</v>
      </c>
      <c r="AN4" s="20">
        <f t="shared" si="1"/>
        <v>28</v>
      </c>
      <c r="AO4" s="20">
        <f t="shared" si="1"/>
        <v>29</v>
      </c>
      <c r="AP4" s="20">
        <f t="shared" si="1"/>
        <v>30</v>
      </c>
      <c r="AQ4" s="20">
        <f t="shared" si="1"/>
        <v>31</v>
      </c>
      <c r="AR4" s="20">
        <f t="shared" si="1"/>
        <v>32</v>
      </c>
      <c r="AS4" s="20">
        <f t="shared" si="1"/>
        <v>33</v>
      </c>
      <c r="AT4" s="20">
        <f t="shared" si="1"/>
        <v>34</v>
      </c>
      <c r="AU4" s="20">
        <f t="shared" si="1"/>
        <v>35</v>
      </c>
      <c r="AV4" s="20">
        <f t="shared" si="1"/>
        <v>36</v>
      </c>
      <c r="AW4" s="20">
        <f t="shared" si="1"/>
        <v>37</v>
      </c>
      <c r="AX4" s="20">
        <f t="shared" si="1"/>
        <v>38</v>
      </c>
      <c r="AY4" s="20">
        <f t="shared" si="1"/>
        <v>39</v>
      </c>
      <c r="AZ4" s="20">
        <f t="shared" si="1"/>
        <v>40</v>
      </c>
      <c r="BA4" s="20">
        <f t="shared" si="1"/>
        <v>41</v>
      </c>
      <c r="BB4" s="20">
        <f t="shared" si="1"/>
        <v>42</v>
      </c>
      <c r="BC4" s="20">
        <f t="shared" si="1"/>
        <v>43</v>
      </c>
      <c r="BD4" s="20">
        <f t="shared" si="1"/>
        <v>44</v>
      </c>
      <c r="BE4" s="20">
        <f t="shared" si="1"/>
        <v>45</v>
      </c>
      <c r="BF4" s="20">
        <f t="shared" si="1"/>
        <v>46</v>
      </c>
      <c r="BG4" s="20">
        <f t="shared" si="1"/>
        <v>47</v>
      </c>
      <c r="BH4" s="20">
        <f t="shared" si="1"/>
        <v>48</v>
      </c>
      <c r="BI4" s="20">
        <f t="shared" si="1"/>
        <v>49</v>
      </c>
      <c r="BJ4" s="20">
        <f t="shared" si="1"/>
        <v>50</v>
      </c>
      <c r="BK4" s="20">
        <f t="shared" si="1"/>
        <v>51</v>
      </c>
      <c r="BL4" s="20">
        <f t="shared" si="1"/>
        <v>52</v>
      </c>
      <c r="BM4" s="20">
        <f t="shared" si="1"/>
        <v>53</v>
      </c>
      <c r="BN4" s="20">
        <f t="shared" si="1"/>
        <v>54</v>
      </c>
      <c r="BO4" s="20">
        <f t="shared" si="1"/>
        <v>55</v>
      </c>
      <c r="BP4" s="20">
        <f t="shared" si="1"/>
        <v>56</v>
      </c>
      <c r="BQ4" s="20">
        <f t="shared" si="1"/>
        <v>57</v>
      </c>
      <c r="BR4" s="20">
        <f t="shared" si="1"/>
        <v>58</v>
      </c>
      <c r="BS4" s="20">
        <f t="shared" si="1"/>
        <v>59</v>
      </c>
      <c r="BT4" s="20">
        <f t="shared" si="1"/>
        <v>60</v>
      </c>
      <c r="BU4" s="11"/>
      <c r="BV4" s="20">
        <v>12</v>
      </c>
      <c r="BW4" s="20">
        <v>24</v>
      </c>
      <c r="BX4" s="20">
        <v>36</v>
      </c>
      <c r="BY4" s="20">
        <v>48</v>
      </c>
      <c r="BZ4" s="20">
        <v>60</v>
      </c>
    </row>
    <row r="5" spans="1:78" x14ac:dyDescent="0.3">
      <c r="A5" s="255" t="s">
        <v>288</v>
      </c>
      <c r="B5" s="256"/>
      <c r="C5" s="257"/>
      <c r="D5" s="258"/>
      <c r="E5" s="259"/>
      <c r="F5" s="259"/>
      <c r="G5" s="259"/>
      <c r="H5" s="259"/>
      <c r="I5" s="259"/>
      <c r="J5" s="259"/>
      <c r="K5" s="259"/>
      <c r="L5" s="259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0"/>
      <c r="AX5" s="260"/>
      <c r="AY5" s="260"/>
      <c r="AZ5" s="260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0"/>
      <c r="BQ5" s="260"/>
      <c r="BR5" s="260"/>
      <c r="BS5" s="260"/>
      <c r="BT5" s="260"/>
      <c r="BU5" s="261"/>
      <c r="BV5" s="260"/>
      <c r="BW5" s="260"/>
      <c r="BX5" s="260"/>
      <c r="BY5" s="260"/>
      <c r="BZ5" s="260"/>
    </row>
    <row r="6" spans="1:78" x14ac:dyDescent="0.3">
      <c r="A6" s="32" t="s">
        <v>20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</row>
    <row r="7" spans="1:78" x14ac:dyDescent="0.3">
      <c r="A7" s="38" t="s">
        <v>21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>
        <f>ROUND('Cost Buildup'!M26*Assumptions!M6,0)</f>
        <v>4</v>
      </c>
      <c r="N7" s="23">
        <f>ROUND('Cost Buildup'!N26*Assumptions!N6,0)</f>
        <v>4</v>
      </c>
      <c r="O7" s="23">
        <f>ROUND('Cost Buildup'!O26*Assumptions!O6,0)</f>
        <v>4</v>
      </c>
      <c r="P7" s="23">
        <f>ROUND('Cost Buildup'!P26*Assumptions!P6,0)</f>
        <v>6</v>
      </c>
      <c r="Q7" s="23">
        <f>ROUND('Cost Buildup'!Q26*Assumptions!Q6,0)</f>
        <v>6</v>
      </c>
      <c r="R7" s="23">
        <f>ROUND('Cost Buildup'!R26*Assumptions!R6,0)</f>
        <v>6</v>
      </c>
      <c r="S7" s="23">
        <f>ROUND('Cost Buildup'!S26*Assumptions!S6,0)</f>
        <v>13</v>
      </c>
      <c r="T7" s="23">
        <f>ROUND('Cost Buildup'!T26*Assumptions!T6,0)</f>
        <v>13</v>
      </c>
      <c r="U7" s="23">
        <f>ROUND('Cost Buildup'!U26*Assumptions!U6,0)</f>
        <v>13</v>
      </c>
      <c r="V7" s="23">
        <f>ROUND('Cost Buildup'!V26*Assumptions!V6,0)</f>
        <v>19</v>
      </c>
      <c r="W7" s="23">
        <f>ROUND('Cost Buildup'!W26*Assumptions!W6,0)</f>
        <v>19</v>
      </c>
      <c r="X7" s="23">
        <f>ROUND('Cost Buildup'!X26*Assumptions!X6,0)</f>
        <v>19</v>
      </c>
      <c r="Y7" s="23">
        <f>ROUND('Cost Buildup'!Y26*Assumptions!Y6,0)</f>
        <v>21</v>
      </c>
      <c r="Z7" s="23">
        <f>ROUND('Cost Buildup'!Z26*Assumptions!Z6,0)</f>
        <v>21</v>
      </c>
      <c r="AA7" s="23">
        <f>ROUND('Cost Buildup'!AA26*Assumptions!AA6,0)</f>
        <v>21</v>
      </c>
      <c r="AB7" s="23">
        <f>ROUND('Cost Buildup'!AB26*Assumptions!AB6,0)</f>
        <v>25</v>
      </c>
      <c r="AC7" s="23">
        <f>ROUND('Cost Buildup'!AC26*Assumptions!AC6,0)</f>
        <v>25</v>
      </c>
      <c r="AD7" s="23">
        <f>ROUND('Cost Buildup'!AD26*Assumptions!AD6,0)</f>
        <v>25</v>
      </c>
      <c r="AE7" s="23">
        <f>ROUND('Cost Buildup'!AE26*Assumptions!AE6,0)</f>
        <v>50</v>
      </c>
      <c r="AF7" s="23">
        <f>ROUND('Cost Buildup'!AF26*Assumptions!AF6,0)</f>
        <v>50</v>
      </c>
      <c r="AG7" s="23">
        <f>ROUND('Cost Buildup'!AG26*Assumptions!AG6,0)</f>
        <v>50</v>
      </c>
      <c r="AH7" s="23">
        <f>ROUND('Cost Buildup'!AH26*Assumptions!AH6,0)</f>
        <v>55</v>
      </c>
      <c r="AI7" s="23">
        <f>ROUND('Cost Buildup'!AI26*Assumptions!AI6,0)</f>
        <v>55</v>
      </c>
      <c r="AJ7" s="23">
        <f>ROUND('Cost Buildup'!AJ26*Assumptions!AJ6,0)</f>
        <v>55</v>
      </c>
      <c r="AK7" s="23">
        <f>ROUND('Cost Buildup'!AK26*Assumptions!AK6,0)</f>
        <v>58</v>
      </c>
      <c r="AL7" s="23">
        <f>ROUND('Cost Buildup'!AL26*Assumptions!AL6,0)</f>
        <v>58</v>
      </c>
      <c r="AM7" s="23">
        <f>ROUND('Cost Buildup'!AM26*Assumptions!AM6,0)</f>
        <v>58</v>
      </c>
      <c r="AN7" s="23">
        <f>ROUND('Cost Buildup'!AN26*Assumptions!AN6,0)</f>
        <v>60</v>
      </c>
      <c r="AO7" s="23">
        <f>ROUND('Cost Buildup'!AO26*Assumptions!AO6,0)</f>
        <v>60</v>
      </c>
      <c r="AP7" s="23">
        <f>ROUND('Cost Buildup'!AP26*Assumptions!AP6,0)</f>
        <v>60</v>
      </c>
      <c r="AQ7" s="23">
        <f>ROUND('Cost Buildup'!AQ26*Assumptions!AQ6,0)</f>
        <v>63</v>
      </c>
      <c r="AR7" s="23">
        <f>ROUND('Cost Buildup'!AR26*Assumptions!AR6,0)</f>
        <v>63</v>
      </c>
      <c r="AS7" s="23">
        <f>ROUND('Cost Buildup'!AS26*Assumptions!AS6,0)</f>
        <v>63</v>
      </c>
      <c r="AT7" s="23">
        <f>ROUND('Cost Buildup'!AT26*Assumptions!AT6,0)</f>
        <v>65</v>
      </c>
      <c r="AU7" s="23">
        <f>ROUND('Cost Buildup'!AU26*Assumptions!AU6,0)</f>
        <v>65</v>
      </c>
      <c r="AV7" s="23">
        <f>ROUND('Cost Buildup'!AV26*Assumptions!AV6,0)</f>
        <v>65</v>
      </c>
      <c r="AW7" s="23">
        <f>ROUND('Cost Buildup'!AW26*Assumptions!AW6,0)</f>
        <v>75</v>
      </c>
      <c r="AX7" s="23">
        <f>ROUND('Cost Buildup'!AX26*Assumptions!AX6,0)</f>
        <v>75</v>
      </c>
      <c r="AY7" s="23">
        <f>ROUND('Cost Buildup'!AY26*Assumptions!AY6,0)</f>
        <v>75</v>
      </c>
      <c r="AZ7" s="23">
        <f>ROUND('Cost Buildup'!AZ26*Assumptions!AZ6,0)</f>
        <v>78</v>
      </c>
      <c r="BA7" s="23">
        <f>ROUND('Cost Buildup'!BA26*Assumptions!BA6,0)</f>
        <v>78</v>
      </c>
      <c r="BB7" s="23">
        <f>ROUND('Cost Buildup'!BB26*Assumptions!BB6,0)</f>
        <v>78</v>
      </c>
      <c r="BC7" s="23">
        <f>ROUND('Cost Buildup'!BC26*Assumptions!BC6,0)</f>
        <v>80</v>
      </c>
      <c r="BD7" s="23">
        <f>ROUND('Cost Buildup'!BD26*Assumptions!BD6,0)</f>
        <v>80</v>
      </c>
      <c r="BE7" s="23">
        <f>ROUND('Cost Buildup'!BE26*Assumptions!BE6,0)</f>
        <v>80</v>
      </c>
      <c r="BF7" s="23">
        <f>ROUND('Cost Buildup'!BF26*Assumptions!BF6,0)</f>
        <v>83</v>
      </c>
      <c r="BG7" s="23">
        <f>ROUND('Cost Buildup'!BG26*Assumptions!BG6,0)</f>
        <v>83</v>
      </c>
      <c r="BH7" s="23">
        <f>ROUND('Cost Buildup'!BH26*Assumptions!BH6,0)</f>
        <v>83</v>
      </c>
      <c r="BI7" s="23">
        <f>ROUND('Cost Buildup'!BI26*Assumptions!BI6,0)</f>
        <v>93</v>
      </c>
      <c r="BJ7" s="23">
        <f>ROUND('Cost Buildup'!BJ26*Assumptions!BJ6,0)</f>
        <v>93</v>
      </c>
      <c r="BK7" s="23">
        <f>ROUND('Cost Buildup'!BK26*Assumptions!BK6,0)</f>
        <v>93</v>
      </c>
      <c r="BL7" s="23">
        <f>ROUND('Cost Buildup'!BL26*Assumptions!BL6,0)</f>
        <v>95</v>
      </c>
      <c r="BM7" s="23">
        <f>ROUND('Cost Buildup'!BM26*Assumptions!BM6,0)</f>
        <v>95</v>
      </c>
      <c r="BN7" s="23">
        <f>ROUND('Cost Buildup'!BN26*Assumptions!BN6,0)</f>
        <v>95</v>
      </c>
      <c r="BO7" s="23">
        <f>ROUND('Cost Buildup'!BO26*Assumptions!BO6,0)</f>
        <v>98</v>
      </c>
      <c r="BP7" s="23">
        <f>ROUND('Cost Buildup'!BP26*Assumptions!BP6,0)</f>
        <v>98</v>
      </c>
      <c r="BQ7" s="23">
        <f>ROUND('Cost Buildup'!BQ26*Assumptions!BQ6,0)</f>
        <v>98</v>
      </c>
      <c r="BR7" s="23">
        <f>ROUND('Cost Buildup'!BR26*Assumptions!BR6,0)</f>
        <v>100</v>
      </c>
      <c r="BS7" s="23">
        <f>ROUND('Cost Buildup'!BS26*Assumptions!BS6,0)</f>
        <v>100</v>
      </c>
      <c r="BT7" s="23">
        <f>ROUND('Cost Buildup'!BT26*Assumptions!BT6,0)</f>
        <v>100</v>
      </c>
      <c r="BU7" s="11"/>
      <c r="BV7" s="24">
        <f>SUMIF($M$3:$BT$3,BV$3,$M7:$BT7)</f>
        <v>126</v>
      </c>
      <c r="BW7" s="24">
        <f t="shared" ref="BW7:BZ9" si="2">SUMIF($M$3:$BT$3,BW$3,$M7:$BT7)</f>
        <v>453</v>
      </c>
      <c r="BX7" s="24">
        <f t="shared" si="2"/>
        <v>738</v>
      </c>
      <c r="BY7" s="24">
        <f t="shared" si="2"/>
        <v>948</v>
      </c>
      <c r="BZ7" s="24">
        <f t="shared" si="2"/>
        <v>1158</v>
      </c>
    </row>
    <row r="8" spans="1:78" x14ac:dyDescent="0.3">
      <c r="A8" s="38" t="s">
        <v>22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54">
        <v>41</v>
      </c>
      <c r="N8" s="23">
        <f>M10</f>
        <v>45</v>
      </c>
      <c r="O8" s="23">
        <f t="shared" ref="O8:AS8" si="3">N10</f>
        <v>49</v>
      </c>
      <c r="P8" s="23">
        <f t="shared" si="3"/>
        <v>53</v>
      </c>
      <c r="Q8" s="23">
        <f t="shared" si="3"/>
        <v>59</v>
      </c>
      <c r="R8" s="23">
        <f t="shared" si="3"/>
        <v>65</v>
      </c>
      <c r="S8" s="23">
        <f t="shared" si="3"/>
        <v>71</v>
      </c>
      <c r="T8" s="23">
        <f t="shared" si="3"/>
        <v>84</v>
      </c>
      <c r="U8" s="23">
        <f t="shared" si="3"/>
        <v>97</v>
      </c>
      <c r="V8" s="23">
        <f t="shared" si="3"/>
        <v>110</v>
      </c>
      <c r="W8" s="23">
        <f t="shared" si="3"/>
        <v>129</v>
      </c>
      <c r="X8" s="23">
        <f t="shared" si="3"/>
        <v>148</v>
      </c>
      <c r="Y8" s="23">
        <f>X10</f>
        <v>167</v>
      </c>
      <c r="Z8" s="23">
        <f t="shared" si="3"/>
        <v>187</v>
      </c>
      <c r="AA8" s="23">
        <f t="shared" si="3"/>
        <v>207</v>
      </c>
      <c r="AB8" s="23">
        <f t="shared" si="3"/>
        <v>227</v>
      </c>
      <c r="AC8" s="23">
        <f t="shared" si="3"/>
        <v>250</v>
      </c>
      <c r="AD8" s="23">
        <f t="shared" si="3"/>
        <v>273</v>
      </c>
      <c r="AE8" s="23">
        <f t="shared" si="3"/>
        <v>296</v>
      </c>
      <c r="AF8" s="23">
        <f t="shared" si="3"/>
        <v>342</v>
      </c>
      <c r="AG8" s="23">
        <f t="shared" si="3"/>
        <v>388</v>
      </c>
      <c r="AH8" s="23">
        <f t="shared" si="3"/>
        <v>434</v>
      </c>
      <c r="AI8" s="23">
        <f t="shared" si="3"/>
        <v>483</v>
      </c>
      <c r="AJ8" s="23">
        <f t="shared" si="3"/>
        <v>532</v>
      </c>
      <c r="AK8" s="23">
        <f t="shared" si="3"/>
        <v>581</v>
      </c>
      <c r="AL8" s="23">
        <f t="shared" si="3"/>
        <v>633</v>
      </c>
      <c r="AM8" s="23">
        <f t="shared" si="3"/>
        <v>685</v>
      </c>
      <c r="AN8" s="23">
        <f t="shared" si="3"/>
        <v>737</v>
      </c>
      <c r="AO8" s="23">
        <f t="shared" si="3"/>
        <v>789</v>
      </c>
      <c r="AP8" s="23">
        <f t="shared" si="3"/>
        <v>841</v>
      </c>
      <c r="AQ8" s="23">
        <f t="shared" si="3"/>
        <v>893</v>
      </c>
      <c r="AR8" s="23">
        <f t="shared" si="3"/>
        <v>941</v>
      </c>
      <c r="AS8" s="23">
        <f t="shared" si="3"/>
        <v>989</v>
      </c>
      <c r="AT8" s="23">
        <f t="shared" ref="AT8:BT8" si="4">AS10</f>
        <v>1037</v>
      </c>
      <c r="AU8" s="23">
        <f t="shared" si="4"/>
        <v>1085</v>
      </c>
      <c r="AV8" s="23">
        <f t="shared" si="4"/>
        <v>1133</v>
      </c>
      <c r="AW8" s="23">
        <f t="shared" si="4"/>
        <v>1181</v>
      </c>
      <c r="AX8" s="23">
        <f t="shared" si="4"/>
        <v>1239</v>
      </c>
      <c r="AY8" s="23">
        <f t="shared" si="4"/>
        <v>1297</v>
      </c>
      <c r="AZ8" s="23">
        <f t="shared" si="4"/>
        <v>1355</v>
      </c>
      <c r="BA8" s="23">
        <f t="shared" si="4"/>
        <v>1415</v>
      </c>
      <c r="BB8" s="23">
        <f t="shared" si="4"/>
        <v>1475</v>
      </c>
      <c r="BC8" s="23">
        <f t="shared" si="4"/>
        <v>1535</v>
      </c>
      <c r="BD8" s="23">
        <f t="shared" si="4"/>
        <v>1596</v>
      </c>
      <c r="BE8" s="23">
        <f t="shared" si="4"/>
        <v>1657</v>
      </c>
      <c r="BF8" s="23">
        <f t="shared" si="4"/>
        <v>1718</v>
      </c>
      <c r="BG8" s="23">
        <f t="shared" si="4"/>
        <v>1781</v>
      </c>
      <c r="BH8" s="23">
        <f t="shared" si="4"/>
        <v>1844</v>
      </c>
      <c r="BI8" s="23">
        <f t="shared" si="4"/>
        <v>1907</v>
      </c>
      <c r="BJ8" s="23">
        <f t="shared" si="4"/>
        <v>1977</v>
      </c>
      <c r="BK8" s="23">
        <f t="shared" si="4"/>
        <v>2047</v>
      </c>
      <c r="BL8" s="23">
        <f t="shared" si="4"/>
        <v>2117</v>
      </c>
      <c r="BM8" s="23">
        <f t="shared" si="4"/>
        <v>2189</v>
      </c>
      <c r="BN8" s="23">
        <f t="shared" si="4"/>
        <v>2261</v>
      </c>
      <c r="BO8" s="23">
        <f t="shared" si="4"/>
        <v>2333</v>
      </c>
      <c r="BP8" s="23">
        <f t="shared" si="4"/>
        <v>2407</v>
      </c>
      <c r="BQ8" s="23">
        <f t="shared" si="4"/>
        <v>2481</v>
      </c>
      <c r="BR8" s="23">
        <f t="shared" si="4"/>
        <v>2555</v>
      </c>
      <c r="BS8" s="23">
        <f t="shared" si="4"/>
        <v>2630</v>
      </c>
      <c r="BT8" s="23">
        <f t="shared" si="4"/>
        <v>2705</v>
      </c>
      <c r="BU8" s="11"/>
      <c r="BV8" s="76">
        <f>M8</f>
        <v>41</v>
      </c>
      <c r="BW8" s="76">
        <f>BV10</f>
        <v>167</v>
      </c>
      <c r="BX8" s="76">
        <f t="shared" ref="BX8:BZ8" si="5">BW10</f>
        <v>581</v>
      </c>
      <c r="BY8" s="76">
        <f t="shared" si="5"/>
        <v>1181</v>
      </c>
      <c r="BZ8" s="76">
        <f t="shared" si="5"/>
        <v>1907</v>
      </c>
    </row>
    <row r="9" spans="1:78" x14ac:dyDescent="0.3">
      <c r="A9" s="38" t="s">
        <v>13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23">
        <f>-ROUND(M7*Assumptions!Y11,0)</f>
        <v>-1</v>
      </c>
      <c r="Z9" s="23">
        <f>-ROUND(N7*Assumptions!Z11,0)</f>
        <v>-1</v>
      </c>
      <c r="AA9" s="23">
        <f>-ROUND(O7*Assumptions!AA11,0)</f>
        <v>-1</v>
      </c>
      <c r="AB9" s="23">
        <f>-ROUND(P7*Assumptions!AB11,0)</f>
        <v>-2</v>
      </c>
      <c r="AC9" s="23">
        <f>-ROUND(Q7*Assumptions!AC11,0)</f>
        <v>-2</v>
      </c>
      <c r="AD9" s="23">
        <f>-ROUND(R7*Assumptions!AD11,0)</f>
        <v>-2</v>
      </c>
      <c r="AE9" s="23">
        <f>-ROUND(S7*Assumptions!AE11,0)</f>
        <v>-4</v>
      </c>
      <c r="AF9" s="23">
        <f>-ROUND(T7*Assumptions!AF11,0)</f>
        <v>-4</v>
      </c>
      <c r="AG9" s="23">
        <f>-ROUND(U7*Assumptions!AG11,0)</f>
        <v>-4</v>
      </c>
      <c r="AH9" s="23">
        <f>-ROUND(V7*Assumptions!AH11,0)</f>
        <v>-6</v>
      </c>
      <c r="AI9" s="23">
        <f>-ROUND(W7*Assumptions!AI11,0)</f>
        <v>-6</v>
      </c>
      <c r="AJ9" s="23">
        <f>-ROUND(X7*Assumptions!AJ11,0)</f>
        <v>-6</v>
      </c>
      <c r="AK9" s="23">
        <f>-ROUND(Y7*Assumptions!AK11,0)</f>
        <v>-6</v>
      </c>
      <c r="AL9" s="23">
        <f>-ROUND(Z7*Assumptions!AL11,0)</f>
        <v>-6</v>
      </c>
      <c r="AM9" s="23">
        <f>-ROUND(AA7*Assumptions!AM11,0)</f>
        <v>-6</v>
      </c>
      <c r="AN9" s="23">
        <f>-ROUND(AB7*Assumptions!AN11,0)</f>
        <v>-8</v>
      </c>
      <c r="AO9" s="23">
        <f>-ROUND(AC7*Assumptions!AO11,0)</f>
        <v>-8</v>
      </c>
      <c r="AP9" s="23">
        <f>-ROUND(AD7*Assumptions!AP11,0)</f>
        <v>-8</v>
      </c>
      <c r="AQ9" s="23">
        <f>-ROUND(AE7*Assumptions!AQ11,0)</f>
        <v>-15</v>
      </c>
      <c r="AR9" s="23">
        <f>-ROUND(AF7*Assumptions!AR11,0)</f>
        <v>-15</v>
      </c>
      <c r="AS9" s="23">
        <f>-ROUND(AG7*Assumptions!AS11,0)</f>
        <v>-15</v>
      </c>
      <c r="AT9" s="23">
        <f>-ROUND(AH7*Assumptions!AT11,0)</f>
        <v>-17</v>
      </c>
      <c r="AU9" s="23">
        <f>-ROUND(AI7*Assumptions!AU11,0)</f>
        <v>-17</v>
      </c>
      <c r="AV9" s="23">
        <f>-ROUND(AJ7*Assumptions!AV11,0)</f>
        <v>-17</v>
      </c>
      <c r="AW9" s="23">
        <f>-ROUND(AK7*Assumptions!AW11,0)</f>
        <v>-17</v>
      </c>
      <c r="AX9" s="23">
        <f>-ROUND(AL7*Assumptions!AX11,0)</f>
        <v>-17</v>
      </c>
      <c r="AY9" s="23">
        <f>-ROUND(AM7*Assumptions!AY11,0)</f>
        <v>-17</v>
      </c>
      <c r="AZ9" s="23">
        <f>-ROUND(AN7*Assumptions!AZ11,0)</f>
        <v>-18</v>
      </c>
      <c r="BA9" s="23">
        <f>-ROUND(AO7*Assumptions!BA11,0)</f>
        <v>-18</v>
      </c>
      <c r="BB9" s="23">
        <f>-ROUND(AP7*Assumptions!BB11,0)</f>
        <v>-18</v>
      </c>
      <c r="BC9" s="23">
        <f>-ROUND(AQ7*Assumptions!BC11,0)</f>
        <v>-19</v>
      </c>
      <c r="BD9" s="23">
        <f>-ROUND(AR7*Assumptions!BD11,0)</f>
        <v>-19</v>
      </c>
      <c r="BE9" s="23">
        <f>-ROUND(AS7*Assumptions!BE11,0)</f>
        <v>-19</v>
      </c>
      <c r="BF9" s="23">
        <f>-ROUND(AT7*Assumptions!BF11,0)</f>
        <v>-20</v>
      </c>
      <c r="BG9" s="23">
        <f>-ROUND(AU7*Assumptions!BG11,0)</f>
        <v>-20</v>
      </c>
      <c r="BH9" s="23">
        <f>-ROUND(AV7*Assumptions!BH11,0)</f>
        <v>-20</v>
      </c>
      <c r="BI9" s="23">
        <f>-ROUND(AW7*Assumptions!BI11,0)</f>
        <v>-23</v>
      </c>
      <c r="BJ9" s="23">
        <f>-ROUND(AX7*Assumptions!BJ11,0)</f>
        <v>-23</v>
      </c>
      <c r="BK9" s="23">
        <f>-ROUND(AY7*Assumptions!BK11,0)</f>
        <v>-23</v>
      </c>
      <c r="BL9" s="23">
        <f>-ROUND(AZ7*Assumptions!BL11,0)</f>
        <v>-23</v>
      </c>
      <c r="BM9" s="23">
        <f>-ROUND(BA7*Assumptions!BM11,0)</f>
        <v>-23</v>
      </c>
      <c r="BN9" s="23">
        <f>-ROUND(BB7*Assumptions!BN11,0)</f>
        <v>-23</v>
      </c>
      <c r="BO9" s="23">
        <f>-ROUND(BC7*Assumptions!BO11,0)</f>
        <v>-24</v>
      </c>
      <c r="BP9" s="23">
        <f>-ROUND(BD7*Assumptions!BP11,0)</f>
        <v>-24</v>
      </c>
      <c r="BQ9" s="23">
        <f>-ROUND(BE7*Assumptions!BQ11,0)</f>
        <v>-24</v>
      </c>
      <c r="BR9" s="23">
        <f>-ROUND(BF7*Assumptions!BR11,0)</f>
        <v>-25</v>
      </c>
      <c r="BS9" s="23">
        <f>-ROUND(BG7*Assumptions!BS11,0)</f>
        <v>-25</v>
      </c>
      <c r="BT9" s="23">
        <f>-ROUND(BH7*Assumptions!BT11,0)</f>
        <v>-25</v>
      </c>
      <c r="BU9" s="11"/>
      <c r="BV9" s="24">
        <f>SUMIF($M$3:$BT$3,BV$3,$M9:$BT9)</f>
        <v>0</v>
      </c>
      <c r="BW9" s="24">
        <f t="shared" si="2"/>
        <v>-39</v>
      </c>
      <c r="BX9" s="24">
        <f t="shared" si="2"/>
        <v>-138</v>
      </c>
      <c r="BY9" s="24">
        <f t="shared" si="2"/>
        <v>-222</v>
      </c>
      <c r="BZ9" s="24">
        <f t="shared" si="2"/>
        <v>-285</v>
      </c>
    </row>
    <row r="10" spans="1:78" x14ac:dyDescent="0.3">
      <c r="A10" s="38" t="s">
        <v>23</v>
      </c>
      <c r="B10" s="23"/>
      <c r="C10" s="23"/>
      <c r="D10" s="23"/>
      <c r="E10" s="23"/>
      <c r="F10" s="23"/>
      <c r="G10" s="23"/>
      <c r="H10" s="23"/>
      <c r="I10" s="23"/>
      <c r="J10" s="23"/>
      <c r="K10" s="23" t="s">
        <v>24</v>
      </c>
      <c r="L10" s="23"/>
      <c r="M10" s="33">
        <f>SUM(M7:M9)</f>
        <v>45</v>
      </c>
      <c r="N10" s="33">
        <f t="shared" ref="N10:AR10" si="6">SUM(N7:N9)</f>
        <v>49</v>
      </c>
      <c r="O10" s="33">
        <f t="shared" si="6"/>
        <v>53</v>
      </c>
      <c r="P10" s="33">
        <f t="shared" si="6"/>
        <v>59</v>
      </c>
      <c r="Q10" s="33">
        <f t="shared" si="6"/>
        <v>65</v>
      </c>
      <c r="R10" s="33">
        <f t="shared" si="6"/>
        <v>71</v>
      </c>
      <c r="S10" s="33">
        <f t="shared" si="6"/>
        <v>84</v>
      </c>
      <c r="T10" s="33">
        <f t="shared" si="6"/>
        <v>97</v>
      </c>
      <c r="U10" s="33">
        <f t="shared" si="6"/>
        <v>110</v>
      </c>
      <c r="V10" s="33">
        <f t="shared" si="6"/>
        <v>129</v>
      </c>
      <c r="W10" s="33">
        <f t="shared" si="6"/>
        <v>148</v>
      </c>
      <c r="X10" s="33">
        <f t="shared" si="6"/>
        <v>167</v>
      </c>
      <c r="Y10" s="33">
        <f>SUM(Y7:Y9)</f>
        <v>187</v>
      </c>
      <c r="Z10" s="33">
        <f t="shared" si="6"/>
        <v>207</v>
      </c>
      <c r="AA10" s="33">
        <f t="shared" si="6"/>
        <v>227</v>
      </c>
      <c r="AB10" s="33">
        <f t="shared" si="6"/>
        <v>250</v>
      </c>
      <c r="AC10" s="33">
        <f t="shared" si="6"/>
        <v>273</v>
      </c>
      <c r="AD10" s="268">
        <f t="shared" si="6"/>
        <v>296</v>
      </c>
      <c r="AE10" s="33">
        <f t="shared" si="6"/>
        <v>342</v>
      </c>
      <c r="AF10" s="33">
        <f t="shared" si="6"/>
        <v>388</v>
      </c>
      <c r="AG10" s="33">
        <f t="shared" si="6"/>
        <v>434</v>
      </c>
      <c r="AH10" s="33">
        <f t="shared" si="6"/>
        <v>483</v>
      </c>
      <c r="AI10" s="33">
        <f t="shared" si="6"/>
        <v>532</v>
      </c>
      <c r="AJ10" s="33">
        <f t="shared" si="6"/>
        <v>581</v>
      </c>
      <c r="AK10" s="33">
        <f t="shared" si="6"/>
        <v>633</v>
      </c>
      <c r="AL10" s="33">
        <f t="shared" si="6"/>
        <v>685</v>
      </c>
      <c r="AM10" s="33">
        <f t="shared" si="6"/>
        <v>737</v>
      </c>
      <c r="AN10" s="33">
        <f t="shared" si="6"/>
        <v>789</v>
      </c>
      <c r="AO10" s="33">
        <f t="shared" si="6"/>
        <v>841</v>
      </c>
      <c r="AP10" s="33">
        <f t="shared" si="6"/>
        <v>893</v>
      </c>
      <c r="AQ10" s="33">
        <f t="shared" si="6"/>
        <v>941</v>
      </c>
      <c r="AR10" s="33">
        <f t="shared" si="6"/>
        <v>989</v>
      </c>
      <c r="AS10" s="33">
        <f t="shared" ref="AS10:BV10" si="7">SUM(AS7:AS9)</f>
        <v>1037</v>
      </c>
      <c r="AT10" s="33">
        <f t="shared" si="7"/>
        <v>1085</v>
      </c>
      <c r="AU10" s="33">
        <f t="shared" si="7"/>
        <v>1133</v>
      </c>
      <c r="AV10" s="33">
        <f t="shared" si="7"/>
        <v>1181</v>
      </c>
      <c r="AW10" s="33">
        <f t="shared" si="7"/>
        <v>1239</v>
      </c>
      <c r="AX10" s="33">
        <f t="shared" si="7"/>
        <v>1297</v>
      </c>
      <c r="AY10" s="33">
        <f t="shared" si="7"/>
        <v>1355</v>
      </c>
      <c r="AZ10" s="33">
        <f t="shared" si="7"/>
        <v>1415</v>
      </c>
      <c r="BA10" s="33">
        <f t="shared" si="7"/>
        <v>1475</v>
      </c>
      <c r="BB10" s="33">
        <f t="shared" si="7"/>
        <v>1535</v>
      </c>
      <c r="BC10" s="33">
        <f t="shared" si="7"/>
        <v>1596</v>
      </c>
      <c r="BD10" s="33">
        <f t="shared" si="7"/>
        <v>1657</v>
      </c>
      <c r="BE10" s="33">
        <f t="shared" si="7"/>
        <v>1718</v>
      </c>
      <c r="BF10" s="33">
        <f t="shared" si="7"/>
        <v>1781</v>
      </c>
      <c r="BG10" s="33">
        <f t="shared" si="7"/>
        <v>1844</v>
      </c>
      <c r="BH10" s="33">
        <f t="shared" si="7"/>
        <v>1907</v>
      </c>
      <c r="BI10" s="33">
        <f t="shared" si="7"/>
        <v>1977</v>
      </c>
      <c r="BJ10" s="33">
        <f t="shared" si="7"/>
        <v>2047</v>
      </c>
      <c r="BK10" s="33">
        <f t="shared" si="7"/>
        <v>2117</v>
      </c>
      <c r="BL10" s="33">
        <f t="shared" si="7"/>
        <v>2189</v>
      </c>
      <c r="BM10" s="33">
        <f t="shared" si="7"/>
        <v>2261</v>
      </c>
      <c r="BN10" s="33">
        <f t="shared" si="7"/>
        <v>2333</v>
      </c>
      <c r="BO10" s="33">
        <f t="shared" si="7"/>
        <v>2407</v>
      </c>
      <c r="BP10" s="33">
        <f t="shared" si="7"/>
        <v>2481</v>
      </c>
      <c r="BQ10" s="33">
        <f t="shared" si="7"/>
        <v>2555</v>
      </c>
      <c r="BR10" s="33">
        <f t="shared" si="7"/>
        <v>2630</v>
      </c>
      <c r="BS10" s="33">
        <f t="shared" si="7"/>
        <v>2705</v>
      </c>
      <c r="BT10" s="268">
        <f t="shared" si="7"/>
        <v>2780</v>
      </c>
      <c r="BU10" s="11"/>
      <c r="BV10" s="33">
        <f t="shared" si="7"/>
        <v>167</v>
      </c>
      <c r="BW10" s="33">
        <f t="shared" ref="BW10" si="8">SUM(BW7:BW9)</f>
        <v>581</v>
      </c>
      <c r="BX10" s="33">
        <f t="shared" ref="BX10" si="9">SUM(BX7:BX9)</f>
        <v>1181</v>
      </c>
      <c r="BY10" s="33">
        <f t="shared" ref="BY10" si="10">SUM(BY7:BY9)</f>
        <v>1907</v>
      </c>
      <c r="BZ10" s="33">
        <f t="shared" ref="BZ10" si="11">SUM(BZ7:BZ9)</f>
        <v>2780</v>
      </c>
    </row>
    <row r="11" spans="1:78" x14ac:dyDescent="0.3">
      <c r="A11" s="34" t="s">
        <v>25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11"/>
      <c r="BV11" s="11"/>
      <c r="BW11" s="11"/>
      <c r="BX11" s="11"/>
      <c r="BY11" s="11"/>
      <c r="BZ11" s="11"/>
    </row>
    <row r="12" spans="1:78" x14ac:dyDescent="0.3">
      <c r="A12" s="23" t="s">
        <v>16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4">
        <f>M7*Assumptions!M7</f>
        <v>480000</v>
      </c>
      <c r="N12" s="24">
        <f>N7*Assumptions!N7</f>
        <v>480000</v>
      </c>
      <c r="O12" s="24">
        <f>O7*Assumptions!O7</f>
        <v>480000</v>
      </c>
      <c r="P12" s="24">
        <f>P7*Assumptions!P7</f>
        <v>720000</v>
      </c>
      <c r="Q12" s="24">
        <f>Q7*Assumptions!Q7</f>
        <v>720000</v>
      </c>
      <c r="R12" s="24">
        <f>R7*Assumptions!R7</f>
        <v>720000</v>
      </c>
      <c r="S12" s="24">
        <f>S7*Assumptions!S7</f>
        <v>1560000</v>
      </c>
      <c r="T12" s="24">
        <f>T7*Assumptions!T7</f>
        <v>1560000</v>
      </c>
      <c r="U12" s="24">
        <f>U7*Assumptions!U7</f>
        <v>1560000</v>
      </c>
      <c r="V12" s="24">
        <f>V7*Assumptions!V7</f>
        <v>2280000</v>
      </c>
      <c r="W12" s="24">
        <f>W7*Assumptions!W7</f>
        <v>2280000</v>
      </c>
      <c r="X12" s="24">
        <f>X7*Assumptions!X7</f>
        <v>2280000</v>
      </c>
      <c r="Y12" s="24">
        <f>Y7*Assumptions!Y7</f>
        <v>2520000</v>
      </c>
      <c r="Z12" s="24">
        <f>Z7*Assumptions!Z7</f>
        <v>2520000</v>
      </c>
      <c r="AA12" s="24">
        <f>AA7*Assumptions!AA7</f>
        <v>2520000</v>
      </c>
      <c r="AB12" s="24">
        <f>AB7*Assumptions!AB7</f>
        <v>3000000</v>
      </c>
      <c r="AC12" s="24">
        <f>AC7*Assumptions!AC7</f>
        <v>3000000</v>
      </c>
      <c r="AD12" s="24">
        <f>AD7*Assumptions!AD7</f>
        <v>3000000</v>
      </c>
      <c r="AE12" s="24">
        <f>AE7*Assumptions!AE7</f>
        <v>6000000</v>
      </c>
      <c r="AF12" s="24">
        <f>AF7*Assumptions!AF7</f>
        <v>6000000</v>
      </c>
      <c r="AG12" s="24">
        <f>AG7*Assumptions!AG7</f>
        <v>6000000</v>
      </c>
      <c r="AH12" s="24">
        <f>AH7*Assumptions!AH7</f>
        <v>6600000</v>
      </c>
      <c r="AI12" s="24">
        <f>AI7*Assumptions!AI7</f>
        <v>6600000</v>
      </c>
      <c r="AJ12" s="24">
        <f>AJ7*Assumptions!AJ7</f>
        <v>6600000</v>
      </c>
      <c r="AK12" s="24">
        <f>AK7*Assumptions!AK7</f>
        <v>6960000</v>
      </c>
      <c r="AL12" s="24">
        <f>AL7*Assumptions!AL7</f>
        <v>6960000</v>
      </c>
      <c r="AM12" s="24">
        <f>AM7*Assumptions!AM7</f>
        <v>6960000</v>
      </c>
      <c r="AN12" s="24">
        <f>AN7*Assumptions!AN7</f>
        <v>7200000</v>
      </c>
      <c r="AO12" s="24">
        <f>AO7*Assumptions!AO7</f>
        <v>7200000</v>
      </c>
      <c r="AP12" s="24">
        <f>AP7*Assumptions!AP7</f>
        <v>7200000</v>
      </c>
      <c r="AQ12" s="24">
        <f>AQ7*Assumptions!AQ7</f>
        <v>7560000</v>
      </c>
      <c r="AR12" s="24">
        <f>AR7*Assumptions!AR7</f>
        <v>7560000</v>
      </c>
      <c r="AS12" s="24">
        <f>AS7*Assumptions!AS7</f>
        <v>7560000</v>
      </c>
      <c r="AT12" s="24">
        <f>AT7*Assumptions!AT7</f>
        <v>7800000</v>
      </c>
      <c r="AU12" s="24">
        <f>AU7*Assumptions!AU7</f>
        <v>7800000</v>
      </c>
      <c r="AV12" s="24">
        <f>AV7*Assumptions!AV7</f>
        <v>7800000</v>
      </c>
      <c r="AW12" s="24">
        <f>AW7*Assumptions!AW7</f>
        <v>9000000</v>
      </c>
      <c r="AX12" s="24">
        <f>AX7*Assumptions!AX7</f>
        <v>9000000</v>
      </c>
      <c r="AY12" s="24">
        <f>AY7*Assumptions!AY7</f>
        <v>9000000</v>
      </c>
      <c r="AZ12" s="24">
        <f>AZ7*Assumptions!AZ7</f>
        <v>9360000</v>
      </c>
      <c r="BA12" s="24">
        <f>BA7*Assumptions!BA7</f>
        <v>9360000</v>
      </c>
      <c r="BB12" s="24">
        <f>BB7*Assumptions!BB7</f>
        <v>9360000</v>
      </c>
      <c r="BC12" s="24">
        <f>BC7*Assumptions!BC7</f>
        <v>9600000</v>
      </c>
      <c r="BD12" s="24">
        <f>BD7*Assumptions!BD7</f>
        <v>9600000</v>
      </c>
      <c r="BE12" s="24">
        <f>BE7*Assumptions!BE7</f>
        <v>9600000</v>
      </c>
      <c r="BF12" s="24">
        <f>BF7*Assumptions!BF7</f>
        <v>9960000</v>
      </c>
      <c r="BG12" s="24">
        <f>BG7*Assumptions!BG7</f>
        <v>9960000</v>
      </c>
      <c r="BH12" s="24">
        <f>BH7*Assumptions!BH7</f>
        <v>9960000</v>
      </c>
      <c r="BI12" s="24">
        <f>BI7*Assumptions!BI7</f>
        <v>11160000</v>
      </c>
      <c r="BJ12" s="24">
        <f>BJ7*Assumptions!BJ7</f>
        <v>11160000</v>
      </c>
      <c r="BK12" s="24">
        <f>BK7*Assumptions!BK7</f>
        <v>11160000</v>
      </c>
      <c r="BL12" s="24">
        <f>BL7*Assumptions!BL7</f>
        <v>11400000</v>
      </c>
      <c r="BM12" s="24">
        <f>BM7*Assumptions!BM7</f>
        <v>11400000</v>
      </c>
      <c r="BN12" s="24">
        <f>BN7*Assumptions!BN7</f>
        <v>11400000</v>
      </c>
      <c r="BO12" s="24">
        <f>BO7*Assumptions!BO7</f>
        <v>11760000</v>
      </c>
      <c r="BP12" s="24">
        <f>BP7*Assumptions!BP7</f>
        <v>11760000</v>
      </c>
      <c r="BQ12" s="24">
        <f>BQ7*Assumptions!BQ7</f>
        <v>11760000</v>
      </c>
      <c r="BR12" s="24">
        <f>BR7*Assumptions!BR7</f>
        <v>12000000</v>
      </c>
      <c r="BS12" s="24">
        <f>BS7*Assumptions!BS7</f>
        <v>12000000</v>
      </c>
      <c r="BT12" s="24">
        <f>BT7*Assumptions!BT7</f>
        <v>12000000</v>
      </c>
      <c r="BU12" s="11"/>
      <c r="BV12" s="24">
        <f>SUMIF($M$3:$BT$3,BV$3,$M12:$BT12)</f>
        <v>15120000</v>
      </c>
      <c r="BW12" s="24">
        <f t="shared" ref="BW12:BZ20" si="12">SUMIF($M$3:$BT$3,BW$3,$M12:$BT12)</f>
        <v>54360000</v>
      </c>
      <c r="BX12" s="24">
        <f t="shared" si="12"/>
        <v>88560000</v>
      </c>
      <c r="BY12" s="24">
        <f t="shared" si="12"/>
        <v>113760000</v>
      </c>
      <c r="BZ12" s="24">
        <f t="shared" si="12"/>
        <v>138960000</v>
      </c>
    </row>
    <row r="13" spans="1:78" x14ac:dyDescent="0.3">
      <c r="A13" s="36" t="s">
        <v>26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11"/>
    </row>
    <row r="14" spans="1:78" x14ac:dyDescent="0.3">
      <c r="A14" s="23" t="s">
        <v>88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23">
        <f>(M7+Y9)*Assumptions!Y7</f>
        <v>360000</v>
      </c>
      <c r="Z14" s="23">
        <f>(N7+Z9)*Assumptions!Z7</f>
        <v>360000</v>
      </c>
      <c r="AA14" s="23">
        <f>(O7+AA9)*Assumptions!AA7</f>
        <v>360000</v>
      </c>
      <c r="AB14" s="23">
        <f>(P7+AB9)*Assumptions!AB7</f>
        <v>480000</v>
      </c>
      <c r="AC14" s="23">
        <f>(Q7+AC9)*Assumptions!AC7</f>
        <v>480000</v>
      </c>
      <c r="AD14" s="23">
        <f>(R7+AD9)*Assumptions!AD7</f>
        <v>480000</v>
      </c>
      <c r="AE14" s="23">
        <f>(S7+AE9)*Assumptions!AE7</f>
        <v>1080000</v>
      </c>
      <c r="AF14" s="23">
        <f>(T7+AF9)*Assumptions!AF7</f>
        <v>1080000</v>
      </c>
      <c r="AG14" s="23">
        <f>(U7+AG9)*Assumptions!AG7</f>
        <v>1080000</v>
      </c>
      <c r="AH14" s="23">
        <f>(V7+AH9)*Assumptions!AH7</f>
        <v>1560000</v>
      </c>
      <c r="AI14" s="23">
        <f>(W7+AI9)*Assumptions!AI7</f>
        <v>1560000</v>
      </c>
      <c r="AJ14" s="23">
        <f>(X7+AJ9)*Assumptions!AJ7</f>
        <v>1560000</v>
      </c>
      <c r="AK14" s="23">
        <f>(Y7+AK9)*Assumptions!AK7</f>
        <v>1800000</v>
      </c>
      <c r="AL14" s="23">
        <f>(Z7+AL9)*Assumptions!AL7</f>
        <v>1800000</v>
      </c>
      <c r="AM14" s="23">
        <f>(AA7+AM9)*Assumptions!AM7</f>
        <v>1800000</v>
      </c>
      <c r="AN14" s="23">
        <f>(AB7+AN9)*Assumptions!AN7</f>
        <v>2040000</v>
      </c>
      <c r="AO14" s="23">
        <f>(AC7+AO9)*Assumptions!AO7</f>
        <v>2040000</v>
      </c>
      <c r="AP14" s="23">
        <f>(AD7+AP9)*Assumptions!AP7</f>
        <v>2040000</v>
      </c>
      <c r="AQ14" s="23">
        <f>(AE7+AQ9)*Assumptions!AQ7</f>
        <v>4200000</v>
      </c>
      <c r="AR14" s="23">
        <f>(AF7+AR9)*Assumptions!AR7</f>
        <v>4200000</v>
      </c>
      <c r="AS14" s="23">
        <f>(AG7+AS9)*Assumptions!AS7</f>
        <v>4200000</v>
      </c>
      <c r="AT14" s="23">
        <f>(AH7+AT9)*Assumptions!AT7</f>
        <v>4560000</v>
      </c>
      <c r="AU14" s="23">
        <f>(AI7+AU9)*Assumptions!AU7</f>
        <v>4560000</v>
      </c>
      <c r="AV14" s="23">
        <f>(AJ7+AV9)*Assumptions!AV7</f>
        <v>4560000</v>
      </c>
      <c r="AW14" s="23">
        <f>(AK7+AW9)*Assumptions!AW7</f>
        <v>4920000</v>
      </c>
      <c r="AX14" s="23">
        <f>(AL7+AX9)*Assumptions!AX7</f>
        <v>4920000</v>
      </c>
      <c r="AY14" s="23">
        <f>(AM7+AY9)*Assumptions!AY7</f>
        <v>4920000</v>
      </c>
      <c r="AZ14" s="23">
        <f>(AN7+AZ9)*Assumptions!AZ7</f>
        <v>5040000</v>
      </c>
      <c r="BA14" s="23">
        <f>(AO7+BA9)*Assumptions!BA7</f>
        <v>5040000</v>
      </c>
      <c r="BB14" s="23">
        <f>(AP7+BB9)*Assumptions!BB7</f>
        <v>5040000</v>
      </c>
      <c r="BC14" s="23">
        <f>(AQ7+BC9)*Assumptions!BC7</f>
        <v>5280000</v>
      </c>
      <c r="BD14" s="23">
        <f>(AR7+BD9)*Assumptions!BD7</f>
        <v>5280000</v>
      </c>
      <c r="BE14" s="23">
        <f>(AS7+BE9)*Assumptions!BE7</f>
        <v>5280000</v>
      </c>
      <c r="BF14" s="23">
        <f>(AT7+BF9)*Assumptions!BF7</f>
        <v>5400000</v>
      </c>
      <c r="BG14" s="23">
        <f>(AU7+BG9)*Assumptions!BG7</f>
        <v>5400000</v>
      </c>
      <c r="BH14" s="23">
        <f>(AV7+BH9)*Assumptions!BH7</f>
        <v>5400000</v>
      </c>
      <c r="BI14" s="23">
        <f>(AW7+BI9)*Assumptions!BI7</f>
        <v>6240000</v>
      </c>
      <c r="BJ14" s="23">
        <f>(AX7+BJ9)*Assumptions!BJ7</f>
        <v>6240000</v>
      </c>
      <c r="BK14" s="23">
        <f>(AY7+BK9)*Assumptions!BK7</f>
        <v>6240000</v>
      </c>
      <c r="BL14" s="23">
        <f>(AZ7+BL9)*Assumptions!BL7</f>
        <v>6600000</v>
      </c>
      <c r="BM14" s="23">
        <f>(BA7+BM9)*Assumptions!BM7</f>
        <v>6600000</v>
      </c>
      <c r="BN14" s="23">
        <f>(BB7+BN9)*Assumptions!BN7</f>
        <v>6600000</v>
      </c>
      <c r="BO14" s="23">
        <f>(BC7+BO9)*Assumptions!BO7</f>
        <v>6720000</v>
      </c>
      <c r="BP14" s="23">
        <f>(BD7+BP9)*Assumptions!BP7</f>
        <v>6720000</v>
      </c>
      <c r="BQ14" s="23">
        <f>(BE7+BQ9)*Assumptions!BQ7</f>
        <v>6720000</v>
      </c>
      <c r="BR14" s="23">
        <f>(BF7+BR9)*Assumptions!BR7</f>
        <v>6960000</v>
      </c>
      <c r="BS14" s="23">
        <f>(BG7+BS9)*Assumptions!BS7</f>
        <v>6960000</v>
      </c>
      <c r="BT14" s="23">
        <f>(BH7+BT9)*Assumptions!BT7</f>
        <v>6960000</v>
      </c>
      <c r="BU14" s="11"/>
      <c r="BV14" s="24">
        <f>SUMIF($M$3:$BT$3,BV$3,$M14:$BT14)</f>
        <v>0</v>
      </c>
      <c r="BW14" s="24">
        <f t="shared" si="12"/>
        <v>10440000</v>
      </c>
      <c r="BX14" s="24">
        <f t="shared" si="12"/>
        <v>37800000</v>
      </c>
      <c r="BY14" s="24">
        <f t="shared" si="12"/>
        <v>61920000</v>
      </c>
      <c r="BZ14" s="24">
        <f t="shared" si="12"/>
        <v>79560000</v>
      </c>
    </row>
    <row r="15" spans="1:78" x14ac:dyDescent="0.3">
      <c r="A15" s="23" t="s">
        <v>89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23">
        <f>Y14*Assumptions!Y13</f>
        <v>72000</v>
      </c>
      <c r="Z15" s="23">
        <f>Z14*Assumptions!Z13</f>
        <v>72000</v>
      </c>
      <c r="AA15" s="23">
        <f>AA14*Assumptions!AA13</f>
        <v>72000</v>
      </c>
      <c r="AB15" s="23">
        <f>AB14*Assumptions!AB13</f>
        <v>96000</v>
      </c>
      <c r="AC15" s="23">
        <f>AC14*Assumptions!AC13</f>
        <v>96000</v>
      </c>
      <c r="AD15" s="23">
        <f>AD14*Assumptions!AD13</f>
        <v>96000</v>
      </c>
      <c r="AE15" s="23">
        <f>AE14*Assumptions!AE13</f>
        <v>216000</v>
      </c>
      <c r="AF15" s="23">
        <f>AF14*Assumptions!AF13</f>
        <v>216000</v>
      </c>
      <c r="AG15" s="23">
        <f>AG14*Assumptions!AG13</f>
        <v>216000</v>
      </c>
      <c r="AH15" s="23">
        <f>AH14*Assumptions!AH13</f>
        <v>312000</v>
      </c>
      <c r="AI15" s="23">
        <f>AI14*Assumptions!AI13</f>
        <v>312000</v>
      </c>
      <c r="AJ15" s="23">
        <f>AJ14*Assumptions!AJ13</f>
        <v>312000</v>
      </c>
      <c r="AK15" s="23">
        <f>AK14*Assumptions!AK13</f>
        <v>360000</v>
      </c>
      <c r="AL15" s="23">
        <f>AL14*Assumptions!AL13</f>
        <v>360000</v>
      </c>
      <c r="AM15" s="23">
        <f>AM14*Assumptions!AM13</f>
        <v>360000</v>
      </c>
      <c r="AN15" s="23">
        <f>AN14*Assumptions!AN13</f>
        <v>408000</v>
      </c>
      <c r="AO15" s="23">
        <f>AO14*Assumptions!AO13</f>
        <v>408000</v>
      </c>
      <c r="AP15" s="23">
        <f>AP14*Assumptions!AP13</f>
        <v>408000</v>
      </c>
      <c r="AQ15" s="23">
        <f>AQ14*Assumptions!AQ13</f>
        <v>840000</v>
      </c>
      <c r="AR15" s="23">
        <f>AR14*Assumptions!AR13</f>
        <v>840000</v>
      </c>
      <c r="AS15" s="23">
        <f>AS14*Assumptions!AS13</f>
        <v>840000</v>
      </c>
      <c r="AT15" s="23">
        <f>AT14*Assumptions!AT13</f>
        <v>912000</v>
      </c>
      <c r="AU15" s="23">
        <f>AU14*Assumptions!AU13</f>
        <v>912000</v>
      </c>
      <c r="AV15" s="23">
        <f>AV14*Assumptions!AV13</f>
        <v>912000</v>
      </c>
      <c r="AW15" s="23">
        <f>AW14*Assumptions!AW13</f>
        <v>984000</v>
      </c>
      <c r="AX15" s="23">
        <f>AX14*Assumptions!AX13</f>
        <v>984000</v>
      </c>
      <c r="AY15" s="23">
        <f>AY14*Assumptions!AY13</f>
        <v>984000</v>
      </c>
      <c r="AZ15" s="23">
        <f>AZ14*Assumptions!AZ13</f>
        <v>1008000</v>
      </c>
      <c r="BA15" s="23">
        <f>BA14*Assumptions!BA13</f>
        <v>1008000</v>
      </c>
      <c r="BB15" s="23">
        <f>BB14*Assumptions!BB13</f>
        <v>1008000</v>
      </c>
      <c r="BC15" s="23">
        <f>BC14*Assumptions!BC13</f>
        <v>1056000</v>
      </c>
      <c r="BD15" s="23">
        <f>BD14*Assumptions!BD13</f>
        <v>1056000</v>
      </c>
      <c r="BE15" s="23">
        <f>BE14*Assumptions!BE13</f>
        <v>1056000</v>
      </c>
      <c r="BF15" s="23">
        <f>BF14*Assumptions!BF13</f>
        <v>1080000</v>
      </c>
      <c r="BG15" s="23">
        <f>BG14*Assumptions!BG13</f>
        <v>1080000</v>
      </c>
      <c r="BH15" s="23">
        <f>BH14*Assumptions!BH13</f>
        <v>1080000</v>
      </c>
      <c r="BI15" s="23">
        <f>BI14*Assumptions!BI13</f>
        <v>1248000</v>
      </c>
      <c r="BJ15" s="23">
        <f>BJ14*Assumptions!BJ13</f>
        <v>1248000</v>
      </c>
      <c r="BK15" s="23">
        <f>BK14*Assumptions!BK13</f>
        <v>1248000</v>
      </c>
      <c r="BL15" s="23">
        <f>BL14*Assumptions!BL13</f>
        <v>1320000</v>
      </c>
      <c r="BM15" s="23">
        <f>BM14*Assumptions!BM13</f>
        <v>1320000</v>
      </c>
      <c r="BN15" s="23">
        <f>BN14*Assumptions!BN13</f>
        <v>1320000</v>
      </c>
      <c r="BO15" s="23">
        <f>BO14*Assumptions!BO13</f>
        <v>1344000</v>
      </c>
      <c r="BP15" s="23">
        <f>BP14*Assumptions!BP13</f>
        <v>1344000</v>
      </c>
      <c r="BQ15" s="23">
        <f>BQ14*Assumptions!BQ13</f>
        <v>1344000</v>
      </c>
      <c r="BR15" s="23">
        <f>BR14*Assumptions!BR13</f>
        <v>1392000</v>
      </c>
      <c r="BS15" s="23">
        <f>BS14*Assumptions!BS13</f>
        <v>1392000</v>
      </c>
      <c r="BT15" s="23">
        <f>BT14*Assumptions!BT13</f>
        <v>1392000</v>
      </c>
      <c r="BU15" s="11"/>
      <c r="BV15" s="24">
        <f>SUMIF($M$3:$BT$3,BV$3,$M15:$BT15)</f>
        <v>0</v>
      </c>
      <c r="BW15" s="24">
        <f t="shared" si="12"/>
        <v>2088000</v>
      </c>
      <c r="BX15" s="24">
        <f t="shared" si="12"/>
        <v>7560000</v>
      </c>
      <c r="BY15" s="24">
        <f t="shared" si="12"/>
        <v>12384000</v>
      </c>
      <c r="BZ15" s="24">
        <f t="shared" si="12"/>
        <v>15912000</v>
      </c>
    </row>
    <row r="16" spans="1:78" x14ac:dyDescent="0.3">
      <c r="A16" s="23" t="s">
        <v>27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3">
        <f t="shared" ref="M16:AR16" si="13">SUM(M14:M15)</f>
        <v>0</v>
      </c>
      <c r="N16" s="33">
        <f t="shared" si="13"/>
        <v>0</v>
      </c>
      <c r="O16" s="33">
        <f t="shared" si="13"/>
        <v>0</v>
      </c>
      <c r="P16" s="33">
        <f t="shared" si="13"/>
        <v>0</v>
      </c>
      <c r="Q16" s="33">
        <f t="shared" si="13"/>
        <v>0</v>
      </c>
      <c r="R16" s="33">
        <f t="shared" si="13"/>
        <v>0</v>
      </c>
      <c r="S16" s="33">
        <f t="shared" si="13"/>
        <v>0</v>
      </c>
      <c r="T16" s="33">
        <f t="shared" si="13"/>
        <v>0</v>
      </c>
      <c r="U16" s="33">
        <f t="shared" si="13"/>
        <v>0</v>
      </c>
      <c r="V16" s="33">
        <f t="shared" si="13"/>
        <v>0</v>
      </c>
      <c r="W16" s="33">
        <f t="shared" si="13"/>
        <v>0</v>
      </c>
      <c r="X16" s="33">
        <f t="shared" si="13"/>
        <v>0</v>
      </c>
      <c r="Y16" s="33">
        <f t="shared" si="13"/>
        <v>432000</v>
      </c>
      <c r="Z16" s="33">
        <f t="shared" si="13"/>
        <v>432000</v>
      </c>
      <c r="AA16" s="33">
        <f t="shared" si="13"/>
        <v>432000</v>
      </c>
      <c r="AB16" s="33">
        <f t="shared" si="13"/>
        <v>576000</v>
      </c>
      <c r="AC16" s="33">
        <f t="shared" si="13"/>
        <v>576000</v>
      </c>
      <c r="AD16" s="33">
        <f t="shared" si="13"/>
        <v>576000</v>
      </c>
      <c r="AE16" s="33">
        <f t="shared" si="13"/>
        <v>1296000</v>
      </c>
      <c r="AF16" s="33">
        <f t="shared" si="13"/>
        <v>1296000</v>
      </c>
      <c r="AG16" s="33">
        <f t="shared" si="13"/>
        <v>1296000</v>
      </c>
      <c r="AH16" s="33">
        <f t="shared" si="13"/>
        <v>1872000</v>
      </c>
      <c r="AI16" s="33">
        <f t="shared" si="13"/>
        <v>1872000</v>
      </c>
      <c r="AJ16" s="33">
        <f t="shared" si="13"/>
        <v>1872000</v>
      </c>
      <c r="AK16" s="33">
        <f t="shared" si="13"/>
        <v>2160000</v>
      </c>
      <c r="AL16" s="33">
        <f t="shared" si="13"/>
        <v>2160000</v>
      </c>
      <c r="AM16" s="33">
        <f t="shared" si="13"/>
        <v>2160000</v>
      </c>
      <c r="AN16" s="33">
        <f t="shared" si="13"/>
        <v>2448000</v>
      </c>
      <c r="AO16" s="33">
        <f t="shared" si="13"/>
        <v>2448000</v>
      </c>
      <c r="AP16" s="33">
        <f t="shared" si="13"/>
        <v>2448000</v>
      </c>
      <c r="AQ16" s="33">
        <f t="shared" si="13"/>
        <v>5040000</v>
      </c>
      <c r="AR16" s="33">
        <f t="shared" si="13"/>
        <v>5040000</v>
      </c>
      <c r="AS16" s="33">
        <f t="shared" ref="AS16:BT16" si="14">SUM(AS14:AS15)</f>
        <v>5040000</v>
      </c>
      <c r="AT16" s="33">
        <f t="shared" si="14"/>
        <v>5472000</v>
      </c>
      <c r="AU16" s="33">
        <f t="shared" si="14"/>
        <v>5472000</v>
      </c>
      <c r="AV16" s="33">
        <f t="shared" si="14"/>
        <v>5472000</v>
      </c>
      <c r="AW16" s="33">
        <f t="shared" si="14"/>
        <v>5904000</v>
      </c>
      <c r="AX16" s="33">
        <f t="shared" si="14"/>
        <v>5904000</v>
      </c>
      <c r="AY16" s="33">
        <f t="shared" si="14"/>
        <v>5904000</v>
      </c>
      <c r="AZ16" s="33">
        <f t="shared" si="14"/>
        <v>6048000</v>
      </c>
      <c r="BA16" s="33">
        <f t="shared" si="14"/>
        <v>6048000</v>
      </c>
      <c r="BB16" s="33">
        <f t="shared" si="14"/>
        <v>6048000</v>
      </c>
      <c r="BC16" s="33">
        <f t="shared" si="14"/>
        <v>6336000</v>
      </c>
      <c r="BD16" s="33">
        <f t="shared" si="14"/>
        <v>6336000</v>
      </c>
      <c r="BE16" s="33">
        <f t="shared" si="14"/>
        <v>6336000</v>
      </c>
      <c r="BF16" s="33">
        <f t="shared" si="14"/>
        <v>6480000</v>
      </c>
      <c r="BG16" s="33">
        <f t="shared" si="14"/>
        <v>6480000</v>
      </c>
      <c r="BH16" s="33">
        <f t="shared" si="14"/>
        <v>6480000</v>
      </c>
      <c r="BI16" s="33">
        <f t="shared" si="14"/>
        <v>7488000</v>
      </c>
      <c r="BJ16" s="33">
        <f t="shared" si="14"/>
        <v>7488000</v>
      </c>
      <c r="BK16" s="33">
        <f t="shared" si="14"/>
        <v>7488000</v>
      </c>
      <c r="BL16" s="33">
        <f t="shared" si="14"/>
        <v>7920000</v>
      </c>
      <c r="BM16" s="33">
        <f t="shared" si="14"/>
        <v>7920000</v>
      </c>
      <c r="BN16" s="33">
        <f t="shared" si="14"/>
        <v>7920000</v>
      </c>
      <c r="BO16" s="33">
        <f t="shared" si="14"/>
        <v>8064000</v>
      </c>
      <c r="BP16" s="33">
        <f t="shared" si="14"/>
        <v>8064000</v>
      </c>
      <c r="BQ16" s="33">
        <f t="shared" si="14"/>
        <v>8064000</v>
      </c>
      <c r="BR16" s="33">
        <f t="shared" si="14"/>
        <v>8352000</v>
      </c>
      <c r="BS16" s="33">
        <f t="shared" si="14"/>
        <v>8352000</v>
      </c>
      <c r="BT16" s="33">
        <f t="shared" si="14"/>
        <v>8352000</v>
      </c>
      <c r="BU16" s="11"/>
      <c r="BV16" s="24">
        <f>SUMIF($M$3:$BT$3,BV$3,$M16:$BT16)</f>
        <v>0</v>
      </c>
      <c r="BW16" s="24">
        <f t="shared" si="12"/>
        <v>12528000</v>
      </c>
      <c r="BX16" s="24">
        <f t="shared" si="12"/>
        <v>45360000</v>
      </c>
      <c r="BY16" s="24">
        <f t="shared" si="12"/>
        <v>74304000</v>
      </c>
      <c r="BZ16" s="24">
        <f t="shared" si="12"/>
        <v>95472000</v>
      </c>
    </row>
    <row r="17" spans="1:78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11"/>
    </row>
    <row r="18" spans="1:78" x14ac:dyDescent="0.3">
      <c r="A18" s="23" t="s">
        <v>28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>
        <f>M12+M16</f>
        <v>480000</v>
      </c>
      <c r="N18" s="23">
        <f t="shared" ref="N18:AR18" si="15">N12+N16</f>
        <v>480000</v>
      </c>
      <c r="O18" s="23">
        <f t="shared" si="15"/>
        <v>480000</v>
      </c>
      <c r="P18" s="23">
        <f t="shared" si="15"/>
        <v>720000</v>
      </c>
      <c r="Q18" s="23">
        <f t="shared" si="15"/>
        <v>720000</v>
      </c>
      <c r="R18" s="23">
        <f t="shared" si="15"/>
        <v>720000</v>
      </c>
      <c r="S18" s="23">
        <f t="shared" si="15"/>
        <v>1560000</v>
      </c>
      <c r="T18" s="23">
        <f t="shared" si="15"/>
        <v>1560000</v>
      </c>
      <c r="U18" s="23">
        <f t="shared" si="15"/>
        <v>1560000</v>
      </c>
      <c r="V18" s="23">
        <f t="shared" si="15"/>
        <v>2280000</v>
      </c>
      <c r="W18" s="23">
        <f t="shared" si="15"/>
        <v>2280000</v>
      </c>
      <c r="X18" s="23">
        <f t="shared" si="15"/>
        <v>2280000</v>
      </c>
      <c r="Y18" s="23">
        <f t="shared" si="15"/>
        <v>2952000</v>
      </c>
      <c r="Z18" s="23">
        <f t="shared" si="15"/>
        <v>2952000</v>
      </c>
      <c r="AA18" s="23">
        <f t="shared" si="15"/>
        <v>2952000</v>
      </c>
      <c r="AB18" s="23">
        <f t="shared" si="15"/>
        <v>3576000</v>
      </c>
      <c r="AC18" s="23">
        <f t="shared" si="15"/>
        <v>3576000</v>
      </c>
      <c r="AD18" s="23">
        <f t="shared" si="15"/>
        <v>3576000</v>
      </c>
      <c r="AE18" s="23">
        <f t="shared" si="15"/>
        <v>7296000</v>
      </c>
      <c r="AF18" s="23">
        <f t="shared" si="15"/>
        <v>7296000</v>
      </c>
      <c r="AG18" s="23">
        <f t="shared" si="15"/>
        <v>7296000</v>
      </c>
      <c r="AH18" s="23">
        <f t="shared" si="15"/>
        <v>8472000</v>
      </c>
      <c r="AI18" s="23">
        <f t="shared" si="15"/>
        <v>8472000</v>
      </c>
      <c r="AJ18" s="23">
        <f t="shared" si="15"/>
        <v>8472000</v>
      </c>
      <c r="AK18" s="23">
        <f t="shared" si="15"/>
        <v>9120000</v>
      </c>
      <c r="AL18" s="23">
        <f t="shared" si="15"/>
        <v>9120000</v>
      </c>
      <c r="AM18" s="23">
        <f t="shared" si="15"/>
        <v>9120000</v>
      </c>
      <c r="AN18" s="23">
        <f t="shared" si="15"/>
        <v>9648000</v>
      </c>
      <c r="AO18" s="23">
        <f t="shared" si="15"/>
        <v>9648000</v>
      </c>
      <c r="AP18" s="23">
        <f t="shared" si="15"/>
        <v>9648000</v>
      </c>
      <c r="AQ18" s="23">
        <f t="shared" si="15"/>
        <v>12600000</v>
      </c>
      <c r="AR18" s="23">
        <f t="shared" si="15"/>
        <v>12600000</v>
      </c>
      <c r="AS18" s="23">
        <f t="shared" ref="AS18:BS18" si="16">AS12+AS16</f>
        <v>12600000</v>
      </c>
      <c r="AT18" s="23">
        <f t="shared" si="16"/>
        <v>13272000</v>
      </c>
      <c r="AU18" s="23">
        <f t="shared" si="16"/>
        <v>13272000</v>
      </c>
      <c r="AV18" s="23">
        <f t="shared" si="16"/>
        <v>13272000</v>
      </c>
      <c r="AW18" s="23">
        <f t="shared" si="16"/>
        <v>14904000</v>
      </c>
      <c r="AX18" s="23">
        <f t="shared" si="16"/>
        <v>14904000</v>
      </c>
      <c r="AY18" s="23">
        <f t="shared" si="16"/>
        <v>14904000</v>
      </c>
      <c r="AZ18" s="23">
        <f t="shared" si="16"/>
        <v>15408000</v>
      </c>
      <c r="BA18" s="23">
        <f t="shared" si="16"/>
        <v>15408000</v>
      </c>
      <c r="BB18" s="23">
        <f t="shared" si="16"/>
        <v>15408000</v>
      </c>
      <c r="BC18" s="23">
        <f t="shared" si="16"/>
        <v>15936000</v>
      </c>
      <c r="BD18" s="23">
        <f t="shared" si="16"/>
        <v>15936000</v>
      </c>
      <c r="BE18" s="23">
        <f t="shared" si="16"/>
        <v>15936000</v>
      </c>
      <c r="BF18" s="23">
        <f t="shared" si="16"/>
        <v>16440000</v>
      </c>
      <c r="BG18" s="23">
        <f t="shared" si="16"/>
        <v>16440000</v>
      </c>
      <c r="BH18" s="23">
        <f t="shared" si="16"/>
        <v>16440000</v>
      </c>
      <c r="BI18" s="23">
        <f t="shared" si="16"/>
        <v>18648000</v>
      </c>
      <c r="BJ18" s="23">
        <f t="shared" si="16"/>
        <v>18648000</v>
      </c>
      <c r="BK18" s="23">
        <f t="shared" si="16"/>
        <v>18648000</v>
      </c>
      <c r="BL18" s="23">
        <f t="shared" si="16"/>
        <v>19320000</v>
      </c>
      <c r="BM18" s="23">
        <f t="shared" si="16"/>
        <v>19320000</v>
      </c>
      <c r="BN18" s="23">
        <f t="shared" si="16"/>
        <v>19320000</v>
      </c>
      <c r="BO18" s="23">
        <f t="shared" si="16"/>
        <v>19824000</v>
      </c>
      <c r="BP18" s="23">
        <f t="shared" si="16"/>
        <v>19824000</v>
      </c>
      <c r="BQ18" s="23">
        <f t="shared" si="16"/>
        <v>19824000</v>
      </c>
      <c r="BR18" s="23">
        <f t="shared" si="16"/>
        <v>20352000</v>
      </c>
      <c r="BS18" s="23">
        <f t="shared" si="16"/>
        <v>20352000</v>
      </c>
      <c r="BT18" s="23">
        <f>BT12+BT16</f>
        <v>20352000</v>
      </c>
      <c r="BU18" s="11"/>
      <c r="BV18" s="24">
        <f>SUMIF($M$3:$BT$3,BV$3,$M18:$BT18)</f>
        <v>15120000</v>
      </c>
      <c r="BW18" s="24">
        <f t="shared" si="12"/>
        <v>66888000</v>
      </c>
      <c r="BX18" s="24">
        <f t="shared" si="12"/>
        <v>133920000</v>
      </c>
      <c r="BY18" s="24">
        <f t="shared" si="12"/>
        <v>188064000</v>
      </c>
      <c r="BZ18" s="24">
        <f t="shared" si="12"/>
        <v>234432000</v>
      </c>
    </row>
    <row r="19" spans="1:78" x14ac:dyDescent="0.3">
      <c r="A19" s="32" t="s">
        <v>11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 spans="1:78" x14ac:dyDescent="0.3">
      <c r="A20" s="22" t="s">
        <v>29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73">
        <f>SUM('Revenue Buildup'!$M$18:M18)/Assumptions!M9</f>
        <v>40000</v>
      </c>
      <c r="N20" s="73">
        <f>SUM('Revenue Buildup'!$M$18:N18)/Assumptions!N9</f>
        <v>80000</v>
      </c>
      <c r="O20" s="73">
        <f>SUM('Revenue Buildup'!$M$18:O18)/Assumptions!O9</f>
        <v>120000</v>
      </c>
      <c r="P20" s="73">
        <f>SUM('Revenue Buildup'!$M$18:P18)/Assumptions!P9</f>
        <v>180000</v>
      </c>
      <c r="Q20" s="73">
        <f>SUM('Revenue Buildup'!$M$18:Q18)/Assumptions!Q9</f>
        <v>240000</v>
      </c>
      <c r="R20" s="73">
        <f>SUM('Revenue Buildup'!$M$18:R18)/Assumptions!R9</f>
        <v>300000</v>
      </c>
      <c r="S20" s="73">
        <f>SUM('Revenue Buildup'!$M$18:S18)/Assumptions!S9</f>
        <v>430000</v>
      </c>
      <c r="T20" s="73">
        <f>SUM('Revenue Buildup'!$M$18:T18)/Assumptions!T9</f>
        <v>560000</v>
      </c>
      <c r="U20" s="73">
        <f>SUM('Revenue Buildup'!$M$18:U18)/Assumptions!U9</f>
        <v>690000</v>
      </c>
      <c r="V20" s="73">
        <f>SUM('Revenue Buildup'!$M$18:V18)/Assumptions!V9</f>
        <v>880000</v>
      </c>
      <c r="W20" s="73">
        <f>SUM('Revenue Buildup'!$M$18:W18)/Assumptions!W9</f>
        <v>1070000</v>
      </c>
      <c r="X20" s="74">
        <f>SUM('Revenue Buildup'!M18:X18)/Assumptions!X9</f>
        <v>1260000</v>
      </c>
      <c r="Y20" s="74">
        <f>SUM('Revenue Buildup'!N18:Y18)/Assumptions!Y9</f>
        <v>1466000</v>
      </c>
      <c r="Z20" s="74">
        <f>SUM('Revenue Buildup'!O18:Z18)/Assumptions!Z9</f>
        <v>1672000</v>
      </c>
      <c r="AA20" s="74">
        <f>SUM('Revenue Buildup'!P18:AA18)/Assumptions!AA9</f>
        <v>1878000</v>
      </c>
      <c r="AB20" s="74">
        <f>SUM('Revenue Buildup'!Q18:AB18)/Assumptions!AB9</f>
        <v>2116000</v>
      </c>
      <c r="AC20" s="74">
        <f>SUM('Revenue Buildup'!R18:AC18)/Assumptions!AC9</f>
        <v>2354000</v>
      </c>
      <c r="AD20" s="74">
        <f>SUM('Revenue Buildup'!S18:AD18)/Assumptions!AD9</f>
        <v>2592000</v>
      </c>
      <c r="AE20" s="74">
        <f>SUM('Revenue Buildup'!T18:AE18)/Assumptions!AE9</f>
        <v>3070000</v>
      </c>
      <c r="AF20" s="74">
        <f>SUM('Revenue Buildup'!U18:AF18)/Assumptions!AF9</f>
        <v>3548000</v>
      </c>
      <c r="AG20" s="74">
        <f>SUM('Revenue Buildup'!V18:AG18)/Assumptions!AG9</f>
        <v>4026000</v>
      </c>
      <c r="AH20" s="74">
        <f>SUM('Revenue Buildup'!W18:AH18)/Assumptions!AH9</f>
        <v>4542000</v>
      </c>
      <c r="AI20" s="74">
        <f>SUM('Revenue Buildup'!X18:AI18)/Assumptions!AI9</f>
        <v>5058000</v>
      </c>
      <c r="AJ20" s="74">
        <f>SUM('Revenue Buildup'!Y18:AJ18)/Assumptions!AJ9</f>
        <v>5574000</v>
      </c>
      <c r="AK20" s="74">
        <f>SUM('Revenue Buildup'!Z18:AK18)/Assumptions!AK9</f>
        <v>6088000</v>
      </c>
      <c r="AL20" s="74">
        <f>SUM('Revenue Buildup'!AA18:AL18)/Assumptions!AL9</f>
        <v>6602000</v>
      </c>
      <c r="AM20" s="74">
        <f>SUM('Revenue Buildup'!AB18:AM18)/Assumptions!AM9</f>
        <v>7116000</v>
      </c>
      <c r="AN20" s="74">
        <f>SUM('Revenue Buildup'!AC18:AN18)/Assumptions!AN9</f>
        <v>7622000</v>
      </c>
      <c r="AO20" s="74">
        <f>SUM('Revenue Buildup'!AD18:AO18)/Assumptions!AO9</f>
        <v>8128000</v>
      </c>
      <c r="AP20" s="74">
        <f>SUM('Revenue Buildup'!AE18:AP18)/Assumptions!AP9</f>
        <v>8634000</v>
      </c>
      <c r="AQ20" s="74">
        <f>SUM('Revenue Buildup'!AF18:AQ18)/Assumptions!AQ9</f>
        <v>9076000</v>
      </c>
      <c r="AR20" s="74">
        <f>SUM('Revenue Buildup'!AG18:AR18)/Assumptions!AR9</f>
        <v>9518000</v>
      </c>
      <c r="AS20" s="74">
        <f>SUM('Revenue Buildup'!AH18:AS18)/Assumptions!AS9</f>
        <v>9960000</v>
      </c>
      <c r="AT20" s="74">
        <f>SUM('Revenue Buildup'!AI18:AT18)/Assumptions!AT9</f>
        <v>10360000</v>
      </c>
      <c r="AU20" s="74">
        <f>SUM('Revenue Buildup'!AJ18:AU18)/Assumptions!AU9</f>
        <v>10760000</v>
      </c>
      <c r="AV20" s="74">
        <f>SUM('Revenue Buildup'!AK18:AV18)/Assumptions!AV9</f>
        <v>11160000</v>
      </c>
      <c r="AW20" s="74">
        <f>SUM('Revenue Buildup'!AL18:AW18)/Assumptions!AW9</f>
        <v>11642000</v>
      </c>
      <c r="AX20" s="74">
        <f>SUM('Revenue Buildup'!AM18:AX18)/Assumptions!AX9</f>
        <v>12124000</v>
      </c>
      <c r="AY20" s="74">
        <f>SUM('Revenue Buildup'!AN18:AY18)/Assumptions!AY9</f>
        <v>12606000</v>
      </c>
      <c r="AZ20" s="74">
        <f>SUM('Revenue Buildup'!AO18:AZ18)/Assumptions!AZ9</f>
        <v>13086000</v>
      </c>
      <c r="BA20" s="74">
        <f>SUM('Revenue Buildup'!AP18:BA18)/Assumptions!BA9</f>
        <v>13566000</v>
      </c>
      <c r="BB20" s="74">
        <f>SUM('Revenue Buildup'!AQ18:BB18)/Assumptions!BB9</f>
        <v>14046000</v>
      </c>
      <c r="BC20" s="74">
        <f>SUM('Revenue Buildup'!AR18:BC18)/Assumptions!BC9</f>
        <v>14324000</v>
      </c>
      <c r="BD20" s="74">
        <f>SUM('Revenue Buildup'!AS18:BD18)/Assumptions!BD9</f>
        <v>14602000</v>
      </c>
      <c r="BE20" s="74">
        <f>SUM('Revenue Buildup'!AT18:BE18)/Assumptions!BE9</f>
        <v>14880000</v>
      </c>
      <c r="BF20" s="74">
        <f>SUM('Revenue Buildup'!AU18:BF18)/Assumptions!BF9</f>
        <v>15144000</v>
      </c>
      <c r="BG20" s="74">
        <f>SUM('Revenue Buildup'!AV18:BG18)/Assumptions!BG9</f>
        <v>15408000</v>
      </c>
      <c r="BH20" s="74">
        <f>SUM('Revenue Buildup'!AW18:BH18)/Assumptions!BH9</f>
        <v>15672000</v>
      </c>
      <c r="BI20" s="74">
        <f>SUM('Revenue Buildup'!AX18:BI18)/Assumptions!BI9</f>
        <v>15984000</v>
      </c>
      <c r="BJ20" s="74">
        <f>SUM('Revenue Buildup'!AY18:BJ18)/Assumptions!BJ9</f>
        <v>16296000</v>
      </c>
      <c r="BK20" s="74">
        <f>SUM('Revenue Buildup'!AZ18:BK18)/Assumptions!BK9</f>
        <v>16608000</v>
      </c>
      <c r="BL20" s="74">
        <f>SUM('Revenue Buildup'!BA18:BL18)/Assumptions!BL9</f>
        <v>16934000</v>
      </c>
      <c r="BM20" s="74">
        <f>SUM('Revenue Buildup'!BB18:BM18)/Assumptions!BM9</f>
        <v>17260000</v>
      </c>
      <c r="BN20" s="74">
        <f>SUM('Revenue Buildup'!BC18:BN18)/Assumptions!BN9</f>
        <v>17586000</v>
      </c>
      <c r="BO20" s="74">
        <f>SUM('Revenue Buildup'!BD18:BO18)/Assumptions!BO9</f>
        <v>17910000</v>
      </c>
      <c r="BP20" s="74">
        <f>SUM('Revenue Buildup'!BE18:BP18)/Assumptions!BP9</f>
        <v>18234000</v>
      </c>
      <c r="BQ20" s="74">
        <f>SUM('Revenue Buildup'!BF18:BQ18)/Assumptions!BQ9</f>
        <v>18558000</v>
      </c>
      <c r="BR20" s="74">
        <f>SUM('Revenue Buildup'!BG18:BR18)/Assumptions!BR9</f>
        <v>18884000</v>
      </c>
      <c r="BS20" s="74">
        <f>SUM('Revenue Buildup'!BH18:BS18)/Assumptions!BS9</f>
        <v>19210000</v>
      </c>
      <c r="BT20" s="74">
        <f>SUM('Revenue Buildup'!BI18:BT18)/Assumptions!BT9</f>
        <v>19536000</v>
      </c>
      <c r="BU20" s="11"/>
      <c r="BV20" s="24">
        <f>SUMIF($M$3:$BT$3,BV$3,$M20:$BT20)</f>
        <v>5850000</v>
      </c>
      <c r="BW20" s="24">
        <f t="shared" si="12"/>
        <v>37896000</v>
      </c>
      <c r="BX20" s="24">
        <f t="shared" si="12"/>
        <v>105024000</v>
      </c>
      <c r="BY20" s="24">
        <f t="shared" si="12"/>
        <v>167100000</v>
      </c>
      <c r="BZ20" s="24">
        <f t="shared" si="12"/>
        <v>213000000</v>
      </c>
    </row>
    <row r="21" spans="1:78" x14ac:dyDescent="0.3">
      <c r="A21" s="22" t="s">
        <v>30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75">
        <f>M20*12</f>
        <v>480000</v>
      </c>
      <c r="N21" s="75">
        <f t="shared" ref="N21:BT21" si="17">N20*12</f>
        <v>960000</v>
      </c>
      <c r="O21" s="75">
        <f t="shared" si="17"/>
        <v>1440000</v>
      </c>
      <c r="P21" s="75">
        <f t="shared" si="17"/>
        <v>2160000</v>
      </c>
      <c r="Q21" s="75">
        <f t="shared" si="17"/>
        <v>2880000</v>
      </c>
      <c r="R21" s="75">
        <f t="shared" si="17"/>
        <v>3600000</v>
      </c>
      <c r="S21" s="75">
        <f t="shared" si="17"/>
        <v>5160000</v>
      </c>
      <c r="T21" s="75">
        <f t="shared" si="17"/>
        <v>6720000</v>
      </c>
      <c r="U21" s="75">
        <f t="shared" si="17"/>
        <v>8280000</v>
      </c>
      <c r="V21" s="75">
        <f t="shared" si="17"/>
        <v>10560000</v>
      </c>
      <c r="W21" s="75">
        <f t="shared" si="17"/>
        <v>12840000</v>
      </c>
      <c r="X21" s="75">
        <f t="shared" si="17"/>
        <v>15120000</v>
      </c>
      <c r="Y21" s="75">
        <f t="shared" si="17"/>
        <v>17592000</v>
      </c>
      <c r="Z21" s="75">
        <f t="shared" si="17"/>
        <v>20064000</v>
      </c>
      <c r="AA21" s="75">
        <f t="shared" si="17"/>
        <v>22536000</v>
      </c>
      <c r="AB21" s="75">
        <f t="shared" si="17"/>
        <v>25392000</v>
      </c>
      <c r="AC21" s="75">
        <f t="shared" si="17"/>
        <v>28248000</v>
      </c>
      <c r="AD21" s="75">
        <f t="shared" si="17"/>
        <v>31104000</v>
      </c>
      <c r="AE21" s="75">
        <f t="shared" si="17"/>
        <v>36840000</v>
      </c>
      <c r="AF21" s="75">
        <f t="shared" si="17"/>
        <v>42576000</v>
      </c>
      <c r="AG21" s="75">
        <f t="shared" si="17"/>
        <v>48312000</v>
      </c>
      <c r="AH21" s="75">
        <f t="shared" si="17"/>
        <v>54504000</v>
      </c>
      <c r="AI21" s="75">
        <f t="shared" si="17"/>
        <v>60696000</v>
      </c>
      <c r="AJ21" s="75">
        <f t="shared" si="17"/>
        <v>66888000</v>
      </c>
      <c r="AK21" s="75">
        <f t="shared" si="17"/>
        <v>73056000</v>
      </c>
      <c r="AL21" s="75">
        <f t="shared" si="17"/>
        <v>79224000</v>
      </c>
      <c r="AM21" s="75">
        <f t="shared" si="17"/>
        <v>85392000</v>
      </c>
      <c r="AN21" s="75">
        <f t="shared" si="17"/>
        <v>91464000</v>
      </c>
      <c r="AO21" s="75">
        <f t="shared" si="17"/>
        <v>97536000</v>
      </c>
      <c r="AP21" s="75">
        <f t="shared" si="17"/>
        <v>103608000</v>
      </c>
      <c r="AQ21" s="75">
        <f t="shared" si="17"/>
        <v>108912000</v>
      </c>
      <c r="AR21" s="75">
        <f t="shared" si="17"/>
        <v>114216000</v>
      </c>
      <c r="AS21" s="75">
        <f t="shared" si="17"/>
        <v>119520000</v>
      </c>
      <c r="AT21" s="75">
        <f t="shared" si="17"/>
        <v>124320000</v>
      </c>
      <c r="AU21" s="75">
        <f t="shared" si="17"/>
        <v>129120000</v>
      </c>
      <c r="AV21" s="75">
        <f t="shared" si="17"/>
        <v>133920000</v>
      </c>
      <c r="AW21" s="75">
        <f t="shared" si="17"/>
        <v>139704000</v>
      </c>
      <c r="AX21" s="75">
        <f t="shared" si="17"/>
        <v>145488000</v>
      </c>
      <c r="AY21" s="75">
        <f t="shared" si="17"/>
        <v>151272000</v>
      </c>
      <c r="AZ21" s="75">
        <f t="shared" si="17"/>
        <v>157032000</v>
      </c>
      <c r="BA21" s="75">
        <f t="shared" si="17"/>
        <v>162792000</v>
      </c>
      <c r="BB21" s="75">
        <f t="shared" si="17"/>
        <v>168552000</v>
      </c>
      <c r="BC21" s="75">
        <f t="shared" si="17"/>
        <v>171888000</v>
      </c>
      <c r="BD21" s="75">
        <f t="shared" si="17"/>
        <v>175224000</v>
      </c>
      <c r="BE21" s="75">
        <f t="shared" si="17"/>
        <v>178560000</v>
      </c>
      <c r="BF21" s="75">
        <f t="shared" si="17"/>
        <v>181728000</v>
      </c>
      <c r="BG21" s="75">
        <f t="shared" si="17"/>
        <v>184896000</v>
      </c>
      <c r="BH21" s="75">
        <f t="shared" si="17"/>
        <v>188064000</v>
      </c>
      <c r="BI21" s="75">
        <f t="shared" si="17"/>
        <v>191808000</v>
      </c>
      <c r="BJ21" s="75">
        <f t="shared" si="17"/>
        <v>195552000</v>
      </c>
      <c r="BK21" s="75">
        <f t="shared" si="17"/>
        <v>199296000</v>
      </c>
      <c r="BL21" s="75">
        <f t="shared" si="17"/>
        <v>203208000</v>
      </c>
      <c r="BM21" s="75">
        <f t="shared" si="17"/>
        <v>207120000</v>
      </c>
      <c r="BN21" s="75">
        <f t="shared" si="17"/>
        <v>211032000</v>
      </c>
      <c r="BO21" s="75">
        <f t="shared" si="17"/>
        <v>214920000</v>
      </c>
      <c r="BP21" s="75">
        <f t="shared" si="17"/>
        <v>218808000</v>
      </c>
      <c r="BQ21" s="75">
        <f t="shared" si="17"/>
        <v>222696000</v>
      </c>
      <c r="BR21" s="75">
        <f t="shared" si="17"/>
        <v>226608000</v>
      </c>
      <c r="BS21" s="75">
        <f t="shared" si="17"/>
        <v>230520000</v>
      </c>
      <c r="BT21" s="75">
        <f t="shared" si="17"/>
        <v>234432000</v>
      </c>
      <c r="BU21" s="11"/>
      <c r="BZ21" s="72"/>
    </row>
    <row r="22" spans="1:78" x14ac:dyDescent="0.3">
      <c r="A22" s="262" t="s">
        <v>289</v>
      </c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3"/>
      <c r="BK22" s="263"/>
      <c r="BL22" s="263"/>
      <c r="BM22" s="263"/>
      <c r="BN22" s="263"/>
      <c r="BO22" s="263"/>
      <c r="BP22" s="263"/>
      <c r="BQ22" s="263"/>
      <c r="BR22" s="263"/>
      <c r="BS22" s="263"/>
      <c r="BT22" s="263"/>
      <c r="BU22" s="261"/>
      <c r="BV22" s="261"/>
      <c r="BW22" s="261"/>
      <c r="BX22" s="261"/>
      <c r="BY22" s="261"/>
      <c r="BZ22" s="261"/>
    </row>
    <row r="23" spans="1:78" x14ac:dyDescent="0.3">
      <c r="A23" s="32" t="s">
        <v>20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</row>
    <row r="24" spans="1:78" x14ac:dyDescent="0.3">
      <c r="A24" s="38" t="s">
        <v>21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>
        <f>ROUND('Cost Buildup'!M27*Assumptions!M6,0)</f>
        <v>4</v>
      </c>
      <c r="N24" s="23">
        <f>ROUND('Cost Buildup'!N27*Assumptions!N6,0)</f>
        <v>4</v>
      </c>
      <c r="O24" s="23">
        <f>ROUND('Cost Buildup'!O27*Assumptions!O6,0)</f>
        <v>4</v>
      </c>
      <c r="P24" s="23">
        <f>ROUND('Cost Buildup'!P27*Assumptions!P6,0)</f>
        <v>6</v>
      </c>
      <c r="Q24" s="23">
        <f>ROUND('Cost Buildup'!Q27*Assumptions!Q6,0)</f>
        <v>6</v>
      </c>
      <c r="R24" s="23">
        <f>ROUND('Cost Buildup'!R27*Assumptions!R6,0)</f>
        <v>6</v>
      </c>
      <c r="S24" s="23">
        <f>ROUND('Cost Buildup'!S27*Assumptions!S6,0)</f>
        <v>13</v>
      </c>
      <c r="T24" s="23">
        <f>ROUND('Cost Buildup'!T27*Assumptions!T6,0)</f>
        <v>13</v>
      </c>
      <c r="U24" s="23">
        <f>ROUND('Cost Buildup'!U27*Assumptions!U6,0)</f>
        <v>13</v>
      </c>
      <c r="V24" s="23">
        <f>ROUND('Cost Buildup'!V27*Assumptions!V6,0)</f>
        <v>19</v>
      </c>
      <c r="W24" s="23">
        <f>ROUND('Cost Buildup'!W27*Assumptions!W6,0)</f>
        <v>19</v>
      </c>
      <c r="X24" s="23">
        <f>ROUND('Cost Buildup'!X27*Assumptions!X6,0)</f>
        <v>19</v>
      </c>
      <c r="Y24" s="23">
        <f>ROUND('Cost Buildup'!Y27*Assumptions!Y6,0)</f>
        <v>21</v>
      </c>
      <c r="Z24" s="23">
        <f>ROUND('Cost Buildup'!Z27*Assumptions!Z6,0)</f>
        <v>21</v>
      </c>
      <c r="AA24" s="23">
        <f>ROUND('Cost Buildup'!AA27*Assumptions!AA6,0)</f>
        <v>21</v>
      </c>
      <c r="AB24" s="23">
        <f>ROUND('Cost Buildup'!AB27*Assumptions!AB6,0)</f>
        <v>25</v>
      </c>
      <c r="AC24" s="23">
        <f>ROUND('Cost Buildup'!AC27*Assumptions!AC6,0)</f>
        <v>25</v>
      </c>
      <c r="AD24" s="23">
        <f>ROUND('Cost Buildup'!AD27*Assumptions!AD6,0)</f>
        <v>25</v>
      </c>
      <c r="AE24" s="23">
        <f>ROUND('Cost Buildup'!AE27*Assumptions!AE6,0)</f>
        <v>50</v>
      </c>
      <c r="AF24" s="23">
        <f>ROUND('Cost Buildup'!AF27*Assumptions!AF6,0)</f>
        <v>50</v>
      </c>
      <c r="AG24" s="23">
        <f>ROUND('Cost Buildup'!AG27*Assumptions!AG6,0)</f>
        <v>50</v>
      </c>
      <c r="AH24" s="23">
        <f>ROUND('Cost Buildup'!AH27*Assumptions!AH6,0)</f>
        <v>55</v>
      </c>
      <c r="AI24" s="23">
        <f>ROUND('Cost Buildup'!AI27*Assumptions!AI6,0)</f>
        <v>55</v>
      </c>
      <c r="AJ24" s="23">
        <f>ROUND('Cost Buildup'!AJ27*Assumptions!AJ6,0)</f>
        <v>55</v>
      </c>
      <c r="AK24" s="23">
        <f>ROUND('Cost Buildup'!AK27*Assumptions!AK6,0)</f>
        <v>58</v>
      </c>
      <c r="AL24" s="23">
        <f>ROUND('Cost Buildup'!AL27*Assumptions!AL6,0)</f>
        <v>58</v>
      </c>
      <c r="AM24" s="23">
        <f>ROUND('Cost Buildup'!AM27*Assumptions!AM6,0)</f>
        <v>58</v>
      </c>
      <c r="AN24" s="23">
        <f>ROUND('Cost Buildup'!AN27*Assumptions!AN6,0)</f>
        <v>60</v>
      </c>
      <c r="AO24" s="23">
        <f>ROUND('Cost Buildup'!AO27*Assumptions!AO6,0)</f>
        <v>60</v>
      </c>
      <c r="AP24" s="23">
        <f>ROUND('Cost Buildup'!AP27*Assumptions!AP6,0)</f>
        <v>60</v>
      </c>
      <c r="AQ24" s="23">
        <f>ROUND('Cost Buildup'!AQ27*Assumptions!AQ6,0)</f>
        <v>63</v>
      </c>
      <c r="AR24" s="23">
        <f>ROUND('Cost Buildup'!AR27*Assumptions!AR6,0)</f>
        <v>63</v>
      </c>
      <c r="AS24" s="23">
        <f>ROUND('Cost Buildup'!AS27*Assumptions!AS6,0)</f>
        <v>63</v>
      </c>
      <c r="AT24" s="23">
        <f>ROUND('Cost Buildup'!AT27*Assumptions!AT6,0)</f>
        <v>65</v>
      </c>
      <c r="AU24" s="23">
        <f>ROUND('Cost Buildup'!AU27*Assumptions!AU6,0)</f>
        <v>65</v>
      </c>
      <c r="AV24" s="23">
        <f>ROUND('Cost Buildup'!AV27*Assumptions!AV6,0)</f>
        <v>65</v>
      </c>
      <c r="AW24" s="23">
        <f>ROUND('Cost Buildup'!AW27*Assumptions!AW6,0)</f>
        <v>130</v>
      </c>
      <c r="AX24" s="23">
        <f>ROUND('Cost Buildup'!AX27*Assumptions!AX6,0)</f>
        <v>130</v>
      </c>
      <c r="AY24" s="23">
        <f>ROUND('Cost Buildup'!AY27*Assumptions!AY6,0)</f>
        <v>130</v>
      </c>
      <c r="AZ24" s="23">
        <f>ROUND('Cost Buildup'!AZ27*Assumptions!AZ6,0)</f>
        <v>140</v>
      </c>
      <c r="BA24" s="23">
        <f>ROUND('Cost Buildup'!BA27*Assumptions!BA6,0)</f>
        <v>140</v>
      </c>
      <c r="BB24" s="23">
        <f>ROUND('Cost Buildup'!BB27*Assumptions!BB6,0)</f>
        <v>140</v>
      </c>
      <c r="BC24" s="23">
        <f>ROUND('Cost Buildup'!BC27*Assumptions!BC6,0)</f>
        <v>150</v>
      </c>
      <c r="BD24" s="23">
        <f>ROUND('Cost Buildup'!BD27*Assumptions!BD6,0)</f>
        <v>150</v>
      </c>
      <c r="BE24" s="23">
        <f>ROUND('Cost Buildup'!BE27*Assumptions!BE6,0)</f>
        <v>150</v>
      </c>
      <c r="BF24" s="23">
        <f>ROUND('Cost Buildup'!BF27*Assumptions!BF6,0)</f>
        <v>160</v>
      </c>
      <c r="BG24" s="23">
        <f>ROUND('Cost Buildup'!BG27*Assumptions!BG6,0)</f>
        <v>160</v>
      </c>
      <c r="BH24" s="23">
        <f>ROUND('Cost Buildup'!BH27*Assumptions!BH6,0)</f>
        <v>160</v>
      </c>
      <c r="BI24" s="23">
        <f>ROUND('Cost Buildup'!BI27*Assumptions!BI6,0)</f>
        <v>200</v>
      </c>
      <c r="BJ24" s="23">
        <f>ROUND('Cost Buildup'!BJ27*Assumptions!BJ6,0)</f>
        <v>200</v>
      </c>
      <c r="BK24" s="23">
        <f>ROUND('Cost Buildup'!BK27*Assumptions!BK6,0)</f>
        <v>200</v>
      </c>
      <c r="BL24" s="23">
        <f>ROUND('Cost Buildup'!BL27*Assumptions!BL6,0)</f>
        <v>205</v>
      </c>
      <c r="BM24" s="23">
        <f>ROUND('Cost Buildup'!BM27*Assumptions!BM6,0)</f>
        <v>205</v>
      </c>
      <c r="BN24" s="23">
        <f>ROUND('Cost Buildup'!BN27*Assumptions!BN6,0)</f>
        <v>205</v>
      </c>
      <c r="BO24" s="23">
        <f>ROUND('Cost Buildup'!BO27*Assumptions!BO6,0)</f>
        <v>210</v>
      </c>
      <c r="BP24" s="23">
        <f>ROUND('Cost Buildup'!BP27*Assumptions!BP6,0)</f>
        <v>210</v>
      </c>
      <c r="BQ24" s="23">
        <f>ROUND('Cost Buildup'!BQ27*Assumptions!BQ6,0)</f>
        <v>210</v>
      </c>
      <c r="BR24" s="23">
        <f>ROUND('Cost Buildup'!BR27*Assumptions!BR6,0)</f>
        <v>215</v>
      </c>
      <c r="BS24" s="23">
        <f>ROUND('Cost Buildup'!BS27*Assumptions!BS6,0)</f>
        <v>215</v>
      </c>
      <c r="BT24" s="23">
        <f>ROUND('Cost Buildup'!BT27*Assumptions!BT6,0)</f>
        <v>215</v>
      </c>
      <c r="BU24" s="11"/>
      <c r="BV24" s="24">
        <f>SUMIF($M$3:$BT$3,BV$3,$M24:$BT24)</f>
        <v>126</v>
      </c>
      <c r="BW24" s="24">
        <f t="shared" ref="BW24:BZ26" si="18">SUMIF($M$3:$BT$3,BW$3,$M24:$BT24)</f>
        <v>453</v>
      </c>
      <c r="BX24" s="24">
        <f t="shared" si="18"/>
        <v>738</v>
      </c>
      <c r="BY24" s="24">
        <f t="shared" si="18"/>
        <v>1740</v>
      </c>
      <c r="BZ24" s="24">
        <f t="shared" si="18"/>
        <v>2490</v>
      </c>
    </row>
    <row r="25" spans="1:78" x14ac:dyDescent="0.3">
      <c r="A25" s="38" t="s">
        <v>22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54">
        <v>0</v>
      </c>
      <c r="N25" s="23">
        <f>M27</f>
        <v>4</v>
      </c>
      <c r="O25" s="23">
        <f t="shared" ref="O25" si="19">N27</f>
        <v>8</v>
      </c>
      <c r="P25" s="23">
        <f t="shared" ref="P25" si="20">O27</f>
        <v>12</v>
      </c>
      <c r="Q25" s="23">
        <f t="shared" ref="Q25" si="21">P27</f>
        <v>18</v>
      </c>
      <c r="R25" s="23">
        <f t="shared" ref="R25" si="22">Q27</f>
        <v>24</v>
      </c>
      <c r="S25" s="23">
        <f t="shared" ref="S25" si="23">R27</f>
        <v>30</v>
      </c>
      <c r="T25" s="23">
        <f t="shared" ref="T25" si="24">S27</f>
        <v>43</v>
      </c>
      <c r="U25" s="23">
        <f t="shared" ref="U25" si="25">T27</f>
        <v>56</v>
      </c>
      <c r="V25" s="23">
        <f t="shared" ref="V25" si="26">U27</f>
        <v>69</v>
      </c>
      <c r="W25" s="23">
        <f t="shared" ref="W25" si="27">V27</f>
        <v>88</v>
      </c>
      <c r="X25" s="23">
        <f t="shared" ref="X25" si="28">W27</f>
        <v>107</v>
      </c>
      <c r="Y25" s="23">
        <f>X27</f>
        <v>126</v>
      </c>
      <c r="Z25" s="23">
        <f t="shared" ref="Z25" si="29">Y27</f>
        <v>147</v>
      </c>
      <c r="AA25" s="23">
        <f t="shared" ref="AA25" si="30">Z27</f>
        <v>168</v>
      </c>
      <c r="AB25" s="23">
        <f t="shared" ref="AB25" si="31">AA27</f>
        <v>189</v>
      </c>
      <c r="AC25" s="23">
        <f t="shared" ref="AC25" si="32">AB27</f>
        <v>214</v>
      </c>
      <c r="AD25" s="23">
        <f t="shared" ref="AD25" si="33">AC27</f>
        <v>239</v>
      </c>
      <c r="AE25" s="23">
        <f t="shared" ref="AE25" si="34">AD27</f>
        <v>264</v>
      </c>
      <c r="AF25" s="23">
        <f t="shared" ref="AF25" si="35">AE27</f>
        <v>314</v>
      </c>
      <c r="AG25" s="23">
        <f t="shared" ref="AG25" si="36">AF27</f>
        <v>364</v>
      </c>
      <c r="AH25" s="23">
        <f t="shared" ref="AH25" si="37">AG27</f>
        <v>414</v>
      </c>
      <c r="AI25" s="23">
        <f t="shared" ref="AI25" si="38">AH27</f>
        <v>469</v>
      </c>
      <c r="AJ25" s="23">
        <f t="shared" ref="AJ25" si="39">AI27</f>
        <v>524</v>
      </c>
      <c r="AK25" s="23">
        <f t="shared" ref="AK25" si="40">AJ27</f>
        <v>579</v>
      </c>
      <c r="AL25" s="23">
        <f t="shared" ref="AL25" si="41">AK27</f>
        <v>637</v>
      </c>
      <c r="AM25" s="23">
        <f t="shared" ref="AM25" si="42">AL27</f>
        <v>695</v>
      </c>
      <c r="AN25" s="23">
        <f t="shared" ref="AN25" si="43">AM27</f>
        <v>753</v>
      </c>
      <c r="AO25" s="23">
        <f t="shared" ref="AO25" si="44">AN27</f>
        <v>813</v>
      </c>
      <c r="AP25" s="23">
        <f t="shared" ref="AP25" si="45">AO27</f>
        <v>873</v>
      </c>
      <c r="AQ25" s="23">
        <f t="shared" ref="AQ25" si="46">AP27</f>
        <v>933</v>
      </c>
      <c r="AR25" s="23">
        <f t="shared" ref="AR25" si="47">AQ27</f>
        <v>996</v>
      </c>
      <c r="AS25" s="23">
        <f t="shared" ref="AS25" si="48">AR27</f>
        <v>1059</v>
      </c>
      <c r="AT25" s="23">
        <f t="shared" ref="AT25" si="49">AS27</f>
        <v>1122</v>
      </c>
      <c r="AU25" s="23">
        <f t="shared" ref="AU25" si="50">AT27</f>
        <v>1187</v>
      </c>
      <c r="AV25" s="23">
        <f t="shared" ref="AV25" si="51">AU27</f>
        <v>1252</v>
      </c>
      <c r="AW25" s="23">
        <f t="shared" ref="AW25" si="52">AV27</f>
        <v>1317</v>
      </c>
      <c r="AX25" s="23">
        <f t="shared" ref="AX25" si="53">AW27</f>
        <v>1447</v>
      </c>
      <c r="AY25" s="23">
        <f t="shared" ref="AY25" si="54">AX27</f>
        <v>1577</v>
      </c>
      <c r="AZ25" s="23">
        <f t="shared" ref="AZ25" si="55">AY27</f>
        <v>1707</v>
      </c>
      <c r="BA25" s="23">
        <f t="shared" ref="BA25" si="56">AZ27</f>
        <v>1847</v>
      </c>
      <c r="BB25" s="23">
        <f t="shared" ref="BB25" si="57">BA27</f>
        <v>1987</v>
      </c>
      <c r="BC25" s="23">
        <f t="shared" ref="BC25" si="58">BB27</f>
        <v>2127</v>
      </c>
      <c r="BD25" s="23">
        <f t="shared" ref="BD25" si="59">BC27</f>
        <v>2277</v>
      </c>
      <c r="BE25" s="23">
        <f t="shared" ref="BE25" si="60">BD27</f>
        <v>2427</v>
      </c>
      <c r="BF25" s="23">
        <f t="shared" ref="BF25" si="61">BE27</f>
        <v>2577</v>
      </c>
      <c r="BG25" s="23">
        <f t="shared" ref="BG25" si="62">BF27</f>
        <v>2737</v>
      </c>
      <c r="BH25" s="23">
        <f t="shared" ref="BH25" si="63">BG27</f>
        <v>2897</v>
      </c>
      <c r="BI25" s="23">
        <f t="shared" ref="BI25" si="64">BH27</f>
        <v>3057</v>
      </c>
      <c r="BJ25" s="23">
        <f t="shared" ref="BJ25" si="65">BI27</f>
        <v>3257</v>
      </c>
      <c r="BK25" s="23">
        <f t="shared" ref="BK25" si="66">BJ27</f>
        <v>3457</v>
      </c>
      <c r="BL25" s="23">
        <f t="shared" ref="BL25" si="67">BK27</f>
        <v>3657</v>
      </c>
      <c r="BM25" s="23">
        <f t="shared" ref="BM25" si="68">BL27</f>
        <v>3862</v>
      </c>
      <c r="BN25" s="23">
        <f t="shared" ref="BN25" si="69">BM27</f>
        <v>4067</v>
      </c>
      <c r="BO25" s="23">
        <f t="shared" ref="BO25" si="70">BN27</f>
        <v>4272</v>
      </c>
      <c r="BP25" s="23">
        <f t="shared" ref="BP25" si="71">BO27</f>
        <v>4482</v>
      </c>
      <c r="BQ25" s="23">
        <f t="shared" ref="BQ25" si="72">BP27</f>
        <v>4692</v>
      </c>
      <c r="BR25" s="23">
        <f t="shared" ref="BR25" si="73">BQ27</f>
        <v>4902</v>
      </c>
      <c r="BS25" s="23">
        <f t="shared" ref="BS25" si="74">BR27</f>
        <v>5117</v>
      </c>
      <c r="BT25" s="23">
        <f t="shared" ref="BT25" si="75">BS27</f>
        <v>5332</v>
      </c>
      <c r="BU25" s="11"/>
      <c r="BV25" s="76">
        <f>M25</f>
        <v>0</v>
      </c>
      <c r="BW25" s="76">
        <f>BV27</f>
        <v>126</v>
      </c>
      <c r="BX25" s="76">
        <f t="shared" ref="BX25" si="76">BW27</f>
        <v>579</v>
      </c>
      <c r="BY25" s="76">
        <f t="shared" ref="BY25" si="77">BX27</f>
        <v>1317</v>
      </c>
      <c r="BZ25" s="76">
        <f t="shared" ref="BZ25" si="78">BY27</f>
        <v>3057</v>
      </c>
    </row>
    <row r="26" spans="1:78" x14ac:dyDescent="0.3">
      <c r="A26" s="38" t="s">
        <v>13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23">
        <f>-ROUND(M24*Assumptions!Y28,0)</f>
        <v>0</v>
      </c>
      <c r="Z26" s="23">
        <f>-ROUND(N24*Assumptions!Z28,0)</f>
        <v>0</v>
      </c>
      <c r="AA26" s="23">
        <f>-ROUND(O24*Assumptions!AA28,0)</f>
        <v>0</v>
      </c>
      <c r="AB26" s="23">
        <f>-ROUND(P24*Assumptions!AB28,0)</f>
        <v>0</v>
      </c>
      <c r="AC26" s="23">
        <f>-ROUND(Q24*Assumptions!AC28,0)</f>
        <v>0</v>
      </c>
      <c r="AD26" s="23">
        <f>-ROUND(R24*Assumptions!AD28,0)</f>
        <v>0</v>
      </c>
      <c r="AE26" s="23">
        <f>-ROUND(S24*Assumptions!AE28,0)</f>
        <v>0</v>
      </c>
      <c r="AF26" s="23">
        <f>-ROUND(T24*Assumptions!AF28,0)</f>
        <v>0</v>
      </c>
      <c r="AG26" s="23">
        <f>-ROUND(U24*Assumptions!AG28,0)</f>
        <v>0</v>
      </c>
      <c r="AH26" s="23">
        <f>-ROUND(V24*Assumptions!AH28,0)</f>
        <v>0</v>
      </c>
      <c r="AI26" s="23">
        <f>-ROUND(W24*Assumptions!AI28,0)</f>
        <v>0</v>
      </c>
      <c r="AJ26" s="23">
        <f>-ROUND(X24*Assumptions!AJ28,0)</f>
        <v>0</v>
      </c>
      <c r="AK26" s="23">
        <f>-ROUND(Y24*Assumptions!AK28,0)</f>
        <v>0</v>
      </c>
      <c r="AL26" s="23">
        <f>-ROUND(Z24*Assumptions!AL28,0)</f>
        <v>0</v>
      </c>
      <c r="AM26" s="23">
        <f>-ROUND(AA24*Assumptions!AM28,0)</f>
        <v>0</v>
      </c>
      <c r="AN26" s="23">
        <f>-ROUND(AB24*Assumptions!AN28,0)</f>
        <v>0</v>
      </c>
      <c r="AO26" s="23">
        <f>-ROUND(AC24*Assumptions!AO28,0)</f>
        <v>0</v>
      </c>
      <c r="AP26" s="23">
        <f>-ROUND(AD24*Assumptions!AP28,0)</f>
        <v>0</v>
      </c>
      <c r="AQ26" s="23">
        <f>-ROUND(AE24*Assumptions!AQ28,0)</f>
        <v>0</v>
      </c>
      <c r="AR26" s="23">
        <f>-ROUND(AF24*Assumptions!AR28,0)</f>
        <v>0</v>
      </c>
      <c r="AS26" s="23">
        <f>-ROUND(AG24*Assumptions!AS28,0)</f>
        <v>0</v>
      </c>
      <c r="AT26" s="23">
        <f>-ROUND(AH24*Assumptions!AT28,0)</f>
        <v>0</v>
      </c>
      <c r="AU26" s="23">
        <f>-ROUND(AI24*Assumptions!AU28,0)</f>
        <v>0</v>
      </c>
      <c r="AV26" s="23">
        <f>-ROUND(AJ24*Assumptions!AV28,0)</f>
        <v>0</v>
      </c>
      <c r="AW26" s="23">
        <f>-ROUND(AK24*Assumptions!AW28,0)</f>
        <v>0</v>
      </c>
      <c r="AX26" s="23">
        <f>-ROUND(AL24*Assumptions!AX28,0)</f>
        <v>0</v>
      </c>
      <c r="AY26" s="23">
        <f>-ROUND(AM24*Assumptions!AY28,0)</f>
        <v>0</v>
      </c>
      <c r="AZ26" s="23">
        <f>-ROUND(AN24*Assumptions!AZ28,0)</f>
        <v>0</v>
      </c>
      <c r="BA26" s="23">
        <f>-ROUND(AO24*Assumptions!BA28,0)</f>
        <v>0</v>
      </c>
      <c r="BB26" s="23">
        <f>-ROUND(AP24*Assumptions!BB28,0)</f>
        <v>0</v>
      </c>
      <c r="BC26" s="23">
        <f>-ROUND(AQ24*Assumptions!BC28,0)</f>
        <v>0</v>
      </c>
      <c r="BD26" s="23">
        <f>-ROUND(AR24*Assumptions!BD28,0)</f>
        <v>0</v>
      </c>
      <c r="BE26" s="23">
        <f>-ROUND(AS24*Assumptions!BE28,0)</f>
        <v>0</v>
      </c>
      <c r="BF26" s="23">
        <f>-ROUND(AT24*Assumptions!BF28,0)</f>
        <v>0</v>
      </c>
      <c r="BG26" s="23">
        <f>-ROUND(AU24*Assumptions!BG28,0)</f>
        <v>0</v>
      </c>
      <c r="BH26" s="23">
        <f>-ROUND(AV24*Assumptions!BH28,0)</f>
        <v>0</v>
      </c>
      <c r="BI26" s="23">
        <f>-ROUND(AW24*Assumptions!BI28,0)</f>
        <v>0</v>
      </c>
      <c r="BJ26" s="23">
        <f>-ROUND(AX24*Assumptions!BJ28,0)</f>
        <v>0</v>
      </c>
      <c r="BK26" s="23">
        <f>-ROUND(AY24*Assumptions!BK28,0)</f>
        <v>0</v>
      </c>
      <c r="BL26" s="23">
        <f>-ROUND(AZ24*Assumptions!BL28,0)</f>
        <v>0</v>
      </c>
      <c r="BM26" s="23">
        <f>-ROUND(BA24*Assumptions!BM28,0)</f>
        <v>0</v>
      </c>
      <c r="BN26" s="23">
        <f>-ROUND(BB24*Assumptions!BN28,0)</f>
        <v>0</v>
      </c>
      <c r="BO26" s="23">
        <f>-ROUND(BC24*Assumptions!BO28,0)</f>
        <v>0</v>
      </c>
      <c r="BP26" s="23">
        <f>-ROUND(BD24*Assumptions!BP28,0)</f>
        <v>0</v>
      </c>
      <c r="BQ26" s="23">
        <f>-ROUND(BE24*Assumptions!BQ28,0)</f>
        <v>0</v>
      </c>
      <c r="BR26" s="23">
        <f>-ROUND(BF24*Assumptions!BR28,0)</f>
        <v>0</v>
      </c>
      <c r="BS26" s="23">
        <f>-ROUND(BG24*Assumptions!BS28,0)</f>
        <v>0</v>
      </c>
      <c r="BT26" s="23">
        <f>-ROUND(BH24*Assumptions!BT28,0)</f>
        <v>0</v>
      </c>
      <c r="BU26" s="11"/>
      <c r="BV26" s="24">
        <f>SUMIF($M$3:$BT$3,BV$3,$M26:$BT26)</f>
        <v>0</v>
      </c>
      <c r="BW26" s="24">
        <f t="shared" si="18"/>
        <v>0</v>
      </c>
      <c r="BX26" s="24">
        <f t="shared" si="18"/>
        <v>0</v>
      </c>
      <c r="BY26" s="24">
        <f t="shared" si="18"/>
        <v>0</v>
      </c>
      <c r="BZ26" s="24">
        <f t="shared" si="18"/>
        <v>0</v>
      </c>
    </row>
    <row r="27" spans="1:78" x14ac:dyDescent="0.3">
      <c r="A27" s="38" t="s">
        <v>23</v>
      </c>
      <c r="B27" s="23"/>
      <c r="C27" s="23"/>
      <c r="D27" s="23"/>
      <c r="E27" s="23"/>
      <c r="F27" s="23"/>
      <c r="G27" s="23"/>
      <c r="H27" s="23"/>
      <c r="I27" s="23"/>
      <c r="J27" s="23"/>
      <c r="K27" s="23" t="s">
        <v>24</v>
      </c>
      <c r="L27" s="23"/>
      <c r="M27" s="33">
        <f>SUM(M24:M26)</f>
        <v>4</v>
      </c>
      <c r="N27" s="33">
        <f t="shared" ref="N27:X27" si="79">SUM(N24:N26)</f>
        <v>8</v>
      </c>
      <c r="O27" s="33">
        <f t="shared" si="79"/>
        <v>12</v>
      </c>
      <c r="P27" s="33">
        <f t="shared" si="79"/>
        <v>18</v>
      </c>
      <c r="Q27" s="33">
        <f t="shared" si="79"/>
        <v>24</v>
      </c>
      <c r="R27" s="33">
        <f t="shared" si="79"/>
        <v>30</v>
      </c>
      <c r="S27" s="33">
        <f t="shared" si="79"/>
        <v>43</v>
      </c>
      <c r="T27" s="33">
        <f t="shared" si="79"/>
        <v>56</v>
      </c>
      <c r="U27" s="33">
        <f t="shared" si="79"/>
        <v>69</v>
      </c>
      <c r="V27" s="33">
        <f t="shared" si="79"/>
        <v>88</v>
      </c>
      <c r="W27" s="33">
        <f t="shared" si="79"/>
        <v>107</v>
      </c>
      <c r="X27" s="33">
        <f t="shared" si="79"/>
        <v>126</v>
      </c>
      <c r="Y27" s="33">
        <f>SUM(Y24:Y26)</f>
        <v>147</v>
      </c>
      <c r="Z27" s="33">
        <f t="shared" ref="Z27:BT27" si="80">SUM(Z24:Z26)</f>
        <v>168</v>
      </c>
      <c r="AA27" s="33">
        <f t="shared" si="80"/>
        <v>189</v>
      </c>
      <c r="AB27" s="33">
        <f t="shared" si="80"/>
        <v>214</v>
      </c>
      <c r="AC27" s="33">
        <f t="shared" si="80"/>
        <v>239</v>
      </c>
      <c r="AD27" s="268">
        <f t="shared" si="80"/>
        <v>264</v>
      </c>
      <c r="AE27" s="33">
        <f t="shared" si="80"/>
        <v>314</v>
      </c>
      <c r="AF27" s="33">
        <f t="shared" si="80"/>
        <v>364</v>
      </c>
      <c r="AG27" s="33">
        <f t="shared" si="80"/>
        <v>414</v>
      </c>
      <c r="AH27" s="33">
        <f t="shared" si="80"/>
        <v>469</v>
      </c>
      <c r="AI27" s="33">
        <f t="shared" si="80"/>
        <v>524</v>
      </c>
      <c r="AJ27" s="33">
        <f t="shared" si="80"/>
        <v>579</v>
      </c>
      <c r="AK27" s="33">
        <f t="shared" si="80"/>
        <v>637</v>
      </c>
      <c r="AL27" s="33">
        <f t="shared" si="80"/>
        <v>695</v>
      </c>
      <c r="AM27" s="33">
        <f t="shared" si="80"/>
        <v>753</v>
      </c>
      <c r="AN27" s="33">
        <f t="shared" si="80"/>
        <v>813</v>
      </c>
      <c r="AO27" s="33">
        <f t="shared" si="80"/>
        <v>873</v>
      </c>
      <c r="AP27" s="33">
        <f t="shared" si="80"/>
        <v>933</v>
      </c>
      <c r="AQ27" s="33">
        <f t="shared" si="80"/>
        <v>996</v>
      </c>
      <c r="AR27" s="33">
        <f t="shared" si="80"/>
        <v>1059</v>
      </c>
      <c r="AS27" s="33">
        <f t="shared" si="80"/>
        <v>1122</v>
      </c>
      <c r="AT27" s="33">
        <f t="shared" si="80"/>
        <v>1187</v>
      </c>
      <c r="AU27" s="33">
        <f t="shared" si="80"/>
        <v>1252</v>
      </c>
      <c r="AV27" s="33">
        <f t="shared" si="80"/>
        <v>1317</v>
      </c>
      <c r="AW27" s="33">
        <f t="shared" si="80"/>
        <v>1447</v>
      </c>
      <c r="AX27" s="33">
        <f t="shared" si="80"/>
        <v>1577</v>
      </c>
      <c r="AY27" s="33">
        <f t="shared" si="80"/>
        <v>1707</v>
      </c>
      <c r="AZ27" s="33">
        <f t="shared" si="80"/>
        <v>1847</v>
      </c>
      <c r="BA27" s="33">
        <f t="shared" si="80"/>
        <v>1987</v>
      </c>
      <c r="BB27" s="33">
        <f t="shared" si="80"/>
        <v>2127</v>
      </c>
      <c r="BC27" s="33">
        <f t="shared" si="80"/>
        <v>2277</v>
      </c>
      <c r="BD27" s="33">
        <f t="shared" si="80"/>
        <v>2427</v>
      </c>
      <c r="BE27" s="33">
        <f t="shared" si="80"/>
        <v>2577</v>
      </c>
      <c r="BF27" s="33">
        <f t="shared" si="80"/>
        <v>2737</v>
      </c>
      <c r="BG27" s="33">
        <f t="shared" si="80"/>
        <v>2897</v>
      </c>
      <c r="BH27" s="33">
        <f t="shared" si="80"/>
        <v>3057</v>
      </c>
      <c r="BI27" s="33">
        <f t="shared" si="80"/>
        <v>3257</v>
      </c>
      <c r="BJ27" s="33">
        <f t="shared" si="80"/>
        <v>3457</v>
      </c>
      <c r="BK27" s="33">
        <f t="shared" si="80"/>
        <v>3657</v>
      </c>
      <c r="BL27" s="33">
        <f t="shared" si="80"/>
        <v>3862</v>
      </c>
      <c r="BM27" s="33">
        <f t="shared" si="80"/>
        <v>4067</v>
      </c>
      <c r="BN27" s="33">
        <f t="shared" si="80"/>
        <v>4272</v>
      </c>
      <c r="BO27" s="33">
        <f t="shared" si="80"/>
        <v>4482</v>
      </c>
      <c r="BP27" s="33">
        <f t="shared" si="80"/>
        <v>4692</v>
      </c>
      <c r="BQ27" s="33">
        <f t="shared" si="80"/>
        <v>4902</v>
      </c>
      <c r="BR27" s="33">
        <f t="shared" si="80"/>
        <v>5117</v>
      </c>
      <c r="BS27" s="33">
        <f t="shared" si="80"/>
        <v>5332</v>
      </c>
      <c r="BT27" s="268">
        <f t="shared" si="80"/>
        <v>5547</v>
      </c>
      <c r="BU27" s="11"/>
      <c r="BV27" s="33">
        <f t="shared" ref="BV27:BZ27" si="81">SUM(BV24:BV26)</f>
        <v>126</v>
      </c>
      <c r="BW27" s="33">
        <f t="shared" si="81"/>
        <v>579</v>
      </c>
      <c r="BX27" s="33">
        <f t="shared" si="81"/>
        <v>1317</v>
      </c>
      <c r="BY27" s="33">
        <f t="shared" si="81"/>
        <v>3057</v>
      </c>
      <c r="BZ27" s="33">
        <f t="shared" si="81"/>
        <v>5547</v>
      </c>
    </row>
    <row r="28" spans="1:78" x14ac:dyDescent="0.3">
      <c r="A28" s="34" t="s">
        <v>25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11"/>
      <c r="BV28" s="11"/>
      <c r="BW28" s="11"/>
      <c r="BX28" s="11"/>
      <c r="BY28" s="11"/>
      <c r="BZ28" s="11"/>
    </row>
    <row r="29" spans="1:78" x14ac:dyDescent="0.3">
      <c r="A29" s="23" t="s">
        <v>16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4">
        <f>M24*Assumptions!M8</f>
        <v>240000</v>
      </c>
      <c r="N29" s="24">
        <f>N24*Assumptions!N8</f>
        <v>240000</v>
      </c>
      <c r="O29" s="24">
        <f>O24*Assumptions!O8</f>
        <v>240000</v>
      </c>
      <c r="P29" s="24">
        <f>P24*Assumptions!P8</f>
        <v>360000</v>
      </c>
      <c r="Q29" s="24">
        <f>Q24*Assumptions!Q8</f>
        <v>360000</v>
      </c>
      <c r="R29" s="24">
        <f>R24*Assumptions!R8</f>
        <v>360000</v>
      </c>
      <c r="S29" s="24">
        <f>S24*Assumptions!S8</f>
        <v>780000</v>
      </c>
      <c r="T29" s="24">
        <f>T24*Assumptions!T8</f>
        <v>780000</v>
      </c>
      <c r="U29" s="24">
        <f>U24*Assumptions!U8</f>
        <v>780000</v>
      </c>
      <c r="V29" s="24">
        <f>V24*Assumptions!V8</f>
        <v>1140000</v>
      </c>
      <c r="W29" s="24">
        <f>W24*Assumptions!W8</f>
        <v>1140000</v>
      </c>
      <c r="X29" s="24">
        <f>X24*Assumptions!X8</f>
        <v>1140000</v>
      </c>
      <c r="Y29" s="24">
        <f>Y24*Assumptions!Y8</f>
        <v>1260000</v>
      </c>
      <c r="Z29" s="24">
        <f>Z24*Assumptions!Z8</f>
        <v>1260000</v>
      </c>
      <c r="AA29" s="24">
        <f>AA24*Assumptions!AA8</f>
        <v>1260000</v>
      </c>
      <c r="AB29" s="24">
        <f>AB24*Assumptions!AB8</f>
        <v>1500000</v>
      </c>
      <c r="AC29" s="24">
        <f>AC24*Assumptions!AC8</f>
        <v>1500000</v>
      </c>
      <c r="AD29" s="24">
        <f>AD24*Assumptions!AD8</f>
        <v>1500000</v>
      </c>
      <c r="AE29" s="24">
        <f>AE24*Assumptions!AE8</f>
        <v>3000000</v>
      </c>
      <c r="AF29" s="24">
        <f>AF24*Assumptions!AF8</f>
        <v>3000000</v>
      </c>
      <c r="AG29" s="24">
        <f>AG24*Assumptions!AG8</f>
        <v>3000000</v>
      </c>
      <c r="AH29" s="24">
        <f>AH24*Assumptions!AH8</f>
        <v>3300000</v>
      </c>
      <c r="AI29" s="24">
        <f>AI24*Assumptions!AI8</f>
        <v>3300000</v>
      </c>
      <c r="AJ29" s="24">
        <f>AJ24*Assumptions!AJ8</f>
        <v>3300000</v>
      </c>
      <c r="AK29" s="24">
        <f>AK24*Assumptions!AK8</f>
        <v>3480000</v>
      </c>
      <c r="AL29" s="24">
        <f>AL24*Assumptions!AL8</f>
        <v>3480000</v>
      </c>
      <c r="AM29" s="24">
        <f>AM24*Assumptions!AM8</f>
        <v>3480000</v>
      </c>
      <c r="AN29" s="24">
        <f>AN24*Assumptions!AN8</f>
        <v>3600000</v>
      </c>
      <c r="AO29" s="24">
        <f>AO24*Assumptions!AO8</f>
        <v>3600000</v>
      </c>
      <c r="AP29" s="24">
        <f>AP24*Assumptions!AP8</f>
        <v>3600000</v>
      </c>
      <c r="AQ29" s="24">
        <f>AQ24*Assumptions!AQ8</f>
        <v>3780000</v>
      </c>
      <c r="AR29" s="24">
        <f>AR24*Assumptions!AR8</f>
        <v>3780000</v>
      </c>
      <c r="AS29" s="24">
        <f>AS24*Assumptions!AS8</f>
        <v>3780000</v>
      </c>
      <c r="AT29" s="24">
        <f>AT24*Assumptions!AT8</f>
        <v>3900000</v>
      </c>
      <c r="AU29" s="24">
        <f>AU24*Assumptions!AU8</f>
        <v>3900000</v>
      </c>
      <c r="AV29" s="24">
        <f>AV24*Assumptions!AV8</f>
        <v>3900000</v>
      </c>
      <c r="AW29" s="24">
        <f>AW24*Assumptions!AW8</f>
        <v>7800000</v>
      </c>
      <c r="AX29" s="24">
        <f>AX24*Assumptions!AX8</f>
        <v>7800000</v>
      </c>
      <c r="AY29" s="24">
        <f>AY24*Assumptions!AY8</f>
        <v>7800000</v>
      </c>
      <c r="AZ29" s="24">
        <f>AZ24*Assumptions!AZ8</f>
        <v>8400000</v>
      </c>
      <c r="BA29" s="24">
        <f>BA24*Assumptions!BA8</f>
        <v>8400000</v>
      </c>
      <c r="BB29" s="24">
        <f>BB24*Assumptions!BB8</f>
        <v>8400000</v>
      </c>
      <c r="BC29" s="24">
        <f>BC24*Assumptions!BC8</f>
        <v>9000000</v>
      </c>
      <c r="BD29" s="24">
        <f>BD24*Assumptions!BD8</f>
        <v>9000000</v>
      </c>
      <c r="BE29" s="24">
        <f>BE24*Assumptions!BE8</f>
        <v>9000000</v>
      </c>
      <c r="BF29" s="24">
        <f>BF24*Assumptions!BF8</f>
        <v>9600000</v>
      </c>
      <c r="BG29" s="24">
        <f>BG24*Assumptions!BG8</f>
        <v>9600000</v>
      </c>
      <c r="BH29" s="24">
        <f>BH24*Assumptions!BH8</f>
        <v>9600000</v>
      </c>
      <c r="BI29" s="24">
        <f>BI24*Assumptions!BI8</f>
        <v>12000000</v>
      </c>
      <c r="BJ29" s="24">
        <f>BJ24*Assumptions!BJ8</f>
        <v>12000000</v>
      </c>
      <c r="BK29" s="24">
        <f>BK24*Assumptions!BK8</f>
        <v>12000000</v>
      </c>
      <c r="BL29" s="24">
        <f>BL24*Assumptions!BL8</f>
        <v>12300000</v>
      </c>
      <c r="BM29" s="24">
        <f>BM24*Assumptions!BM8</f>
        <v>12300000</v>
      </c>
      <c r="BN29" s="24">
        <f>BN24*Assumptions!BN8</f>
        <v>12300000</v>
      </c>
      <c r="BO29" s="24">
        <f>BO24*Assumptions!BO8</f>
        <v>12600000</v>
      </c>
      <c r="BP29" s="24">
        <f>BP24*Assumptions!BP8</f>
        <v>12600000</v>
      </c>
      <c r="BQ29" s="24">
        <f>BQ24*Assumptions!BQ8</f>
        <v>12600000</v>
      </c>
      <c r="BR29" s="24">
        <f>BR24*Assumptions!BR8</f>
        <v>12900000</v>
      </c>
      <c r="BS29" s="24">
        <f>BS24*Assumptions!BS8</f>
        <v>12900000</v>
      </c>
      <c r="BT29" s="24">
        <f>BT24*Assumptions!BT8</f>
        <v>12900000</v>
      </c>
      <c r="BU29" s="11"/>
      <c r="BV29" s="24">
        <f>SUMIF($M$3:$BT$3,BV$3,$M29:$BT29)</f>
        <v>7560000</v>
      </c>
      <c r="BW29" s="24">
        <f t="shared" ref="BW29:BZ35" si="82">SUMIF($M$3:$BT$3,BW$3,$M29:$BT29)</f>
        <v>27180000</v>
      </c>
      <c r="BX29" s="24">
        <f t="shared" si="82"/>
        <v>44280000</v>
      </c>
      <c r="BY29" s="24">
        <f t="shared" si="82"/>
        <v>104400000</v>
      </c>
      <c r="BZ29" s="24">
        <f t="shared" si="82"/>
        <v>149400000</v>
      </c>
    </row>
    <row r="30" spans="1:78" x14ac:dyDescent="0.3">
      <c r="A30" s="36" t="s">
        <v>26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11"/>
    </row>
    <row r="31" spans="1:78" x14ac:dyDescent="0.3">
      <c r="A31" s="23" t="s">
        <v>88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23">
        <f>(M24+Y26)*Assumptions!Y8</f>
        <v>240000</v>
      </c>
      <c r="Z31" s="23">
        <f>(N24+Z26)*Assumptions!Z8</f>
        <v>240000</v>
      </c>
      <c r="AA31" s="23">
        <f>(O24+AA26)*Assumptions!AA8</f>
        <v>240000</v>
      </c>
      <c r="AB31" s="23">
        <f>(P24+AB26)*Assumptions!AB8</f>
        <v>360000</v>
      </c>
      <c r="AC31" s="23">
        <f>(Q24+AC26)*Assumptions!AC8</f>
        <v>360000</v>
      </c>
      <c r="AD31" s="23">
        <f>(R24+AD26)*Assumptions!AD8</f>
        <v>360000</v>
      </c>
      <c r="AE31" s="23">
        <f>(S24+AE26)*Assumptions!AE8</f>
        <v>780000</v>
      </c>
      <c r="AF31" s="23">
        <f>(T24+AF26)*Assumptions!AF8</f>
        <v>780000</v>
      </c>
      <c r="AG31" s="23">
        <f>(U24+AG26)*Assumptions!AG8</f>
        <v>780000</v>
      </c>
      <c r="AH31" s="23">
        <f>(V24+AH26)*Assumptions!AH8</f>
        <v>1140000</v>
      </c>
      <c r="AI31" s="23">
        <f>(W24+AI26)*Assumptions!AI8</f>
        <v>1140000</v>
      </c>
      <c r="AJ31" s="23">
        <f>(X24+AJ26)*Assumptions!AJ8</f>
        <v>1140000</v>
      </c>
      <c r="AK31" s="23">
        <f>(Y24+AK26)*Assumptions!AK8</f>
        <v>1260000</v>
      </c>
      <c r="AL31" s="23">
        <f>(Z24+AL26)*Assumptions!AL8</f>
        <v>1260000</v>
      </c>
      <c r="AM31" s="23">
        <f>(AA24+AM26)*Assumptions!AM8</f>
        <v>1260000</v>
      </c>
      <c r="AN31" s="23">
        <f>(AB24+AN26)*Assumptions!AN8</f>
        <v>1500000</v>
      </c>
      <c r="AO31" s="23">
        <f>(AC24+AO26)*Assumptions!AO8</f>
        <v>1500000</v>
      </c>
      <c r="AP31" s="23">
        <f>(AD24+AP26)*Assumptions!AP8</f>
        <v>1500000</v>
      </c>
      <c r="AQ31" s="23">
        <f>(AE24+AQ26)*Assumptions!AQ8</f>
        <v>3000000</v>
      </c>
      <c r="AR31" s="23">
        <f>(AF24+AR26)*Assumptions!AR8</f>
        <v>3000000</v>
      </c>
      <c r="AS31" s="23">
        <f>(AG24+AS26)*Assumptions!AS8</f>
        <v>3000000</v>
      </c>
      <c r="AT31" s="23">
        <f>(AH24+AT26)*Assumptions!AT8</f>
        <v>3300000</v>
      </c>
      <c r="AU31" s="23">
        <f>(AI24+AU26)*Assumptions!AU8</f>
        <v>3300000</v>
      </c>
      <c r="AV31" s="23">
        <f>(AJ24+AV26)*Assumptions!AV8</f>
        <v>3300000</v>
      </c>
      <c r="AW31" s="23">
        <f>(AK24+AW26)*Assumptions!AW8</f>
        <v>3480000</v>
      </c>
      <c r="AX31" s="23">
        <f>(AL24+AX26)*Assumptions!AX8</f>
        <v>3480000</v>
      </c>
      <c r="AY31" s="23">
        <f>(AM24+AY26)*Assumptions!AY8</f>
        <v>3480000</v>
      </c>
      <c r="AZ31" s="23">
        <f>(AN24+AZ26)*Assumptions!AZ8</f>
        <v>3600000</v>
      </c>
      <c r="BA31" s="23">
        <f>(AO24+BA26)*Assumptions!BA8</f>
        <v>3600000</v>
      </c>
      <c r="BB31" s="23">
        <f>(AP24+BB26)*Assumptions!BB8</f>
        <v>3600000</v>
      </c>
      <c r="BC31" s="23">
        <f>(AQ24+BC26)*Assumptions!BC8</f>
        <v>3780000</v>
      </c>
      <c r="BD31" s="23">
        <f>(AR24+BD26)*Assumptions!BD8</f>
        <v>3780000</v>
      </c>
      <c r="BE31" s="23">
        <f>(AS24+BE26)*Assumptions!BE8</f>
        <v>3780000</v>
      </c>
      <c r="BF31" s="23">
        <f>(AT24+BF26)*Assumptions!BF8</f>
        <v>3900000</v>
      </c>
      <c r="BG31" s="23">
        <f>(AU24+BG26)*Assumptions!BG8</f>
        <v>3900000</v>
      </c>
      <c r="BH31" s="23">
        <f>(AV24+BH26)*Assumptions!BH8</f>
        <v>3900000</v>
      </c>
      <c r="BI31" s="23">
        <f>(AW24+BI26)*Assumptions!BI8</f>
        <v>7800000</v>
      </c>
      <c r="BJ31" s="23">
        <f>(AX24+BJ26)*Assumptions!BJ8</f>
        <v>7800000</v>
      </c>
      <c r="BK31" s="23">
        <f>(AY24+BK26)*Assumptions!BK8</f>
        <v>7800000</v>
      </c>
      <c r="BL31" s="23">
        <f>(AZ24+BL26)*Assumptions!BL8</f>
        <v>8400000</v>
      </c>
      <c r="BM31" s="23">
        <f>(BA24+BM26)*Assumptions!BM8</f>
        <v>8400000</v>
      </c>
      <c r="BN31" s="23">
        <f>(BB24+BN26)*Assumptions!BN8</f>
        <v>8400000</v>
      </c>
      <c r="BO31" s="23">
        <f>(BC24+BO26)*Assumptions!BO8</f>
        <v>9000000</v>
      </c>
      <c r="BP31" s="23">
        <f>(BD24+BP26)*Assumptions!BP8</f>
        <v>9000000</v>
      </c>
      <c r="BQ31" s="23">
        <f>(BE24+BQ26)*Assumptions!BQ8</f>
        <v>9000000</v>
      </c>
      <c r="BR31" s="23">
        <f>(BF24+BR26)*Assumptions!BR8</f>
        <v>9600000</v>
      </c>
      <c r="BS31" s="23">
        <f>(BG24+BS26)*Assumptions!BS8</f>
        <v>9600000</v>
      </c>
      <c r="BT31" s="23">
        <f>(BH24+BT26)*Assumptions!BT8</f>
        <v>9600000</v>
      </c>
      <c r="BU31" s="11"/>
      <c r="BV31" s="24">
        <f>SUMIF($M$3:$BT$3,BV$3,$M31:$BT31)</f>
        <v>0</v>
      </c>
      <c r="BW31" s="24">
        <f t="shared" si="82"/>
        <v>7560000</v>
      </c>
      <c r="BX31" s="24">
        <f t="shared" si="82"/>
        <v>27180000</v>
      </c>
      <c r="BY31" s="24">
        <f t="shared" si="82"/>
        <v>44280000</v>
      </c>
      <c r="BZ31" s="24">
        <f t="shared" si="82"/>
        <v>104400000</v>
      </c>
    </row>
    <row r="32" spans="1:78" x14ac:dyDescent="0.3">
      <c r="A32" s="23" t="s">
        <v>89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23">
        <f>Y31*Assumptions!Y13</f>
        <v>48000</v>
      </c>
      <c r="Z32" s="23">
        <f>Z31*Assumptions!Z13</f>
        <v>48000</v>
      </c>
      <c r="AA32" s="23">
        <f>AA31*Assumptions!AA13</f>
        <v>48000</v>
      </c>
      <c r="AB32" s="23">
        <f>AB31*Assumptions!AB13</f>
        <v>72000</v>
      </c>
      <c r="AC32" s="23">
        <f>AC31*Assumptions!AC13</f>
        <v>72000</v>
      </c>
      <c r="AD32" s="23">
        <f>AD31*Assumptions!AD13</f>
        <v>72000</v>
      </c>
      <c r="AE32" s="23">
        <f>AE31*Assumptions!AE13</f>
        <v>156000</v>
      </c>
      <c r="AF32" s="23">
        <f>AF31*Assumptions!AF13</f>
        <v>156000</v>
      </c>
      <c r="AG32" s="23">
        <f>AG31*Assumptions!AG13</f>
        <v>156000</v>
      </c>
      <c r="AH32" s="23">
        <f>AH31*Assumptions!AH13</f>
        <v>228000</v>
      </c>
      <c r="AI32" s="23">
        <f>AI31*Assumptions!AI13</f>
        <v>228000</v>
      </c>
      <c r="AJ32" s="23">
        <f>AJ31*Assumptions!AJ13</f>
        <v>228000</v>
      </c>
      <c r="AK32" s="23">
        <f>AK31*Assumptions!AK13</f>
        <v>252000</v>
      </c>
      <c r="AL32" s="23">
        <f>AL31*Assumptions!AL13</f>
        <v>252000</v>
      </c>
      <c r="AM32" s="23">
        <f>AM31*Assumptions!AM13</f>
        <v>252000</v>
      </c>
      <c r="AN32" s="23">
        <f>AN31*Assumptions!AN13</f>
        <v>300000</v>
      </c>
      <c r="AO32" s="23">
        <f>AO31*Assumptions!AO13</f>
        <v>300000</v>
      </c>
      <c r="AP32" s="23">
        <f>AP31*Assumptions!AP13</f>
        <v>300000</v>
      </c>
      <c r="AQ32" s="23">
        <f>AQ31*Assumptions!AQ13</f>
        <v>600000</v>
      </c>
      <c r="AR32" s="23">
        <f>AR31*Assumptions!AR13</f>
        <v>600000</v>
      </c>
      <c r="AS32" s="23">
        <f>AS31*Assumptions!AS13</f>
        <v>600000</v>
      </c>
      <c r="AT32" s="23">
        <f>AT31*Assumptions!AT13</f>
        <v>660000</v>
      </c>
      <c r="AU32" s="23">
        <f>AU31*Assumptions!AU13</f>
        <v>660000</v>
      </c>
      <c r="AV32" s="23">
        <f>AV31*Assumptions!AV13</f>
        <v>660000</v>
      </c>
      <c r="AW32" s="23">
        <f>AW31*Assumptions!AW13</f>
        <v>696000</v>
      </c>
      <c r="AX32" s="23">
        <f>AX31*Assumptions!AX13</f>
        <v>696000</v>
      </c>
      <c r="AY32" s="23">
        <f>AY31*Assumptions!AY13</f>
        <v>696000</v>
      </c>
      <c r="AZ32" s="23">
        <f>AZ31*Assumptions!AZ13</f>
        <v>720000</v>
      </c>
      <c r="BA32" s="23">
        <f>BA31*Assumptions!BA13</f>
        <v>720000</v>
      </c>
      <c r="BB32" s="23">
        <f>BB31*Assumptions!BB13</f>
        <v>720000</v>
      </c>
      <c r="BC32" s="23">
        <f>BC31*Assumptions!BC13</f>
        <v>756000</v>
      </c>
      <c r="BD32" s="23">
        <f>BD31*Assumptions!BD13</f>
        <v>756000</v>
      </c>
      <c r="BE32" s="23">
        <f>BE31*Assumptions!BE13</f>
        <v>756000</v>
      </c>
      <c r="BF32" s="23">
        <f>BF31*Assumptions!BF13</f>
        <v>780000</v>
      </c>
      <c r="BG32" s="23">
        <f>BG31*Assumptions!BG13</f>
        <v>780000</v>
      </c>
      <c r="BH32" s="23">
        <f>BH31*Assumptions!BH13</f>
        <v>780000</v>
      </c>
      <c r="BI32" s="23">
        <f>BI31*Assumptions!BI13</f>
        <v>1560000</v>
      </c>
      <c r="BJ32" s="23">
        <f>BJ31*Assumptions!BJ13</f>
        <v>1560000</v>
      </c>
      <c r="BK32" s="23">
        <f>BK31*Assumptions!BK13</f>
        <v>1560000</v>
      </c>
      <c r="BL32" s="23">
        <f>BL31*Assumptions!BL13</f>
        <v>1680000</v>
      </c>
      <c r="BM32" s="23">
        <f>BM31*Assumptions!BM13</f>
        <v>1680000</v>
      </c>
      <c r="BN32" s="23">
        <f>BN31*Assumptions!BN13</f>
        <v>1680000</v>
      </c>
      <c r="BO32" s="23">
        <f>BO31*Assumptions!BO13</f>
        <v>1800000</v>
      </c>
      <c r="BP32" s="23">
        <f>BP31*Assumptions!BP13</f>
        <v>1800000</v>
      </c>
      <c r="BQ32" s="23">
        <f>BQ31*Assumptions!BQ13</f>
        <v>1800000</v>
      </c>
      <c r="BR32" s="23">
        <f>BR31*Assumptions!BR13</f>
        <v>1920000</v>
      </c>
      <c r="BS32" s="23">
        <f>BS31*Assumptions!BS13</f>
        <v>1920000</v>
      </c>
      <c r="BT32" s="23">
        <f>BT31*Assumptions!BT13</f>
        <v>1920000</v>
      </c>
      <c r="BU32" s="11"/>
      <c r="BV32" s="24">
        <f>SUMIF($M$3:$BT$3,BV$3,$M32:$BT32)</f>
        <v>0</v>
      </c>
      <c r="BW32" s="24">
        <f t="shared" si="82"/>
        <v>1512000</v>
      </c>
      <c r="BX32" s="24">
        <f t="shared" si="82"/>
        <v>5436000</v>
      </c>
      <c r="BY32" s="24">
        <f t="shared" si="82"/>
        <v>8856000</v>
      </c>
      <c r="BZ32" s="24">
        <f t="shared" si="82"/>
        <v>20880000</v>
      </c>
    </row>
    <row r="33" spans="1:78" x14ac:dyDescent="0.3">
      <c r="A33" s="23" t="s">
        <v>27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33">
        <f t="shared" ref="M33:BT33" si="83">SUM(M31:M32)</f>
        <v>0</v>
      </c>
      <c r="N33" s="33">
        <f t="shared" si="83"/>
        <v>0</v>
      </c>
      <c r="O33" s="33">
        <f t="shared" si="83"/>
        <v>0</v>
      </c>
      <c r="P33" s="33">
        <f t="shared" si="83"/>
        <v>0</v>
      </c>
      <c r="Q33" s="33">
        <f t="shared" si="83"/>
        <v>0</v>
      </c>
      <c r="R33" s="33">
        <f t="shared" si="83"/>
        <v>0</v>
      </c>
      <c r="S33" s="33">
        <f t="shared" si="83"/>
        <v>0</v>
      </c>
      <c r="T33" s="33">
        <f t="shared" si="83"/>
        <v>0</v>
      </c>
      <c r="U33" s="33">
        <f t="shared" si="83"/>
        <v>0</v>
      </c>
      <c r="V33" s="33">
        <f t="shared" si="83"/>
        <v>0</v>
      </c>
      <c r="W33" s="33">
        <f t="shared" si="83"/>
        <v>0</v>
      </c>
      <c r="X33" s="33">
        <f t="shared" si="83"/>
        <v>0</v>
      </c>
      <c r="Y33" s="33">
        <f t="shared" si="83"/>
        <v>288000</v>
      </c>
      <c r="Z33" s="33">
        <f t="shared" si="83"/>
        <v>288000</v>
      </c>
      <c r="AA33" s="33">
        <f t="shared" si="83"/>
        <v>288000</v>
      </c>
      <c r="AB33" s="33">
        <f t="shared" si="83"/>
        <v>432000</v>
      </c>
      <c r="AC33" s="33">
        <f t="shared" si="83"/>
        <v>432000</v>
      </c>
      <c r="AD33" s="33">
        <f t="shared" si="83"/>
        <v>432000</v>
      </c>
      <c r="AE33" s="33">
        <f t="shared" si="83"/>
        <v>936000</v>
      </c>
      <c r="AF33" s="33">
        <f t="shared" si="83"/>
        <v>936000</v>
      </c>
      <c r="AG33" s="33">
        <f t="shared" si="83"/>
        <v>936000</v>
      </c>
      <c r="AH33" s="33">
        <f t="shared" si="83"/>
        <v>1368000</v>
      </c>
      <c r="AI33" s="33">
        <f t="shared" si="83"/>
        <v>1368000</v>
      </c>
      <c r="AJ33" s="33">
        <f t="shared" si="83"/>
        <v>1368000</v>
      </c>
      <c r="AK33" s="33">
        <f t="shared" si="83"/>
        <v>1512000</v>
      </c>
      <c r="AL33" s="33">
        <f t="shared" si="83"/>
        <v>1512000</v>
      </c>
      <c r="AM33" s="33">
        <f t="shared" si="83"/>
        <v>1512000</v>
      </c>
      <c r="AN33" s="33">
        <f t="shared" si="83"/>
        <v>1800000</v>
      </c>
      <c r="AO33" s="33">
        <f t="shared" si="83"/>
        <v>1800000</v>
      </c>
      <c r="AP33" s="33">
        <f t="shared" si="83"/>
        <v>1800000</v>
      </c>
      <c r="AQ33" s="33">
        <f t="shared" si="83"/>
        <v>3600000</v>
      </c>
      <c r="AR33" s="33">
        <f t="shared" si="83"/>
        <v>3600000</v>
      </c>
      <c r="AS33" s="33">
        <f t="shared" si="83"/>
        <v>3600000</v>
      </c>
      <c r="AT33" s="33">
        <f t="shared" si="83"/>
        <v>3960000</v>
      </c>
      <c r="AU33" s="33">
        <f t="shared" si="83"/>
        <v>3960000</v>
      </c>
      <c r="AV33" s="33">
        <f t="shared" si="83"/>
        <v>3960000</v>
      </c>
      <c r="AW33" s="33">
        <f t="shared" si="83"/>
        <v>4176000</v>
      </c>
      <c r="AX33" s="33">
        <f t="shared" si="83"/>
        <v>4176000</v>
      </c>
      <c r="AY33" s="33">
        <f t="shared" si="83"/>
        <v>4176000</v>
      </c>
      <c r="AZ33" s="33">
        <f t="shared" si="83"/>
        <v>4320000</v>
      </c>
      <c r="BA33" s="33">
        <f t="shared" si="83"/>
        <v>4320000</v>
      </c>
      <c r="BB33" s="33">
        <f t="shared" si="83"/>
        <v>4320000</v>
      </c>
      <c r="BC33" s="33">
        <f t="shared" si="83"/>
        <v>4536000</v>
      </c>
      <c r="BD33" s="33">
        <f t="shared" si="83"/>
        <v>4536000</v>
      </c>
      <c r="BE33" s="33">
        <f t="shared" si="83"/>
        <v>4536000</v>
      </c>
      <c r="BF33" s="33">
        <f t="shared" si="83"/>
        <v>4680000</v>
      </c>
      <c r="BG33" s="33">
        <f t="shared" si="83"/>
        <v>4680000</v>
      </c>
      <c r="BH33" s="33">
        <f t="shared" si="83"/>
        <v>4680000</v>
      </c>
      <c r="BI33" s="33">
        <f t="shared" si="83"/>
        <v>9360000</v>
      </c>
      <c r="BJ33" s="33">
        <f t="shared" si="83"/>
        <v>9360000</v>
      </c>
      <c r="BK33" s="33">
        <f t="shared" si="83"/>
        <v>9360000</v>
      </c>
      <c r="BL33" s="33">
        <f t="shared" si="83"/>
        <v>10080000</v>
      </c>
      <c r="BM33" s="33">
        <f t="shared" si="83"/>
        <v>10080000</v>
      </c>
      <c r="BN33" s="33">
        <f t="shared" si="83"/>
        <v>10080000</v>
      </c>
      <c r="BO33" s="33">
        <f t="shared" si="83"/>
        <v>10800000</v>
      </c>
      <c r="BP33" s="33">
        <f t="shared" si="83"/>
        <v>10800000</v>
      </c>
      <c r="BQ33" s="33">
        <f t="shared" si="83"/>
        <v>10800000</v>
      </c>
      <c r="BR33" s="33">
        <f t="shared" si="83"/>
        <v>11520000</v>
      </c>
      <c r="BS33" s="33">
        <f t="shared" si="83"/>
        <v>11520000</v>
      </c>
      <c r="BT33" s="33">
        <f t="shared" si="83"/>
        <v>11520000</v>
      </c>
      <c r="BU33" s="11"/>
      <c r="BV33" s="24">
        <f>SUMIF($M$3:$BT$3,BV$3,$M33:$BT33)</f>
        <v>0</v>
      </c>
      <c r="BW33" s="24">
        <f t="shared" si="82"/>
        <v>9072000</v>
      </c>
      <c r="BX33" s="24">
        <f t="shared" si="82"/>
        <v>32616000</v>
      </c>
      <c r="BY33" s="24">
        <f t="shared" si="82"/>
        <v>53136000</v>
      </c>
      <c r="BZ33" s="24">
        <f t="shared" si="82"/>
        <v>125280000</v>
      </c>
    </row>
    <row r="34" spans="1:78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11"/>
    </row>
    <row r="35" spans="1:78" x14ac:dyDescent="0.3">
      <c r="A35" s="23" t="s">
        <v>28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>
        <f>M29+M33</f>
        <v>240000</v>
      </c>
      <c r="N35" s="23">
        <f t="shared" ref="N35:BS35" si="84">N29+N33</f>
        <v>240000</v>
      </c>
      <c r="O35" s="23">
        <f t="shared" si="84"/>
        <v>240000</v>
      </c>
      <c r="P35" s="23">
        <f t="shared" si="84"/>
        <v>360000</v>
      </c>
      <c r="Q35" s="23">
        <f t="shared" si="84"/>
        <v>360000</v>
      </c>
      <c r="R35" s="23">
        <f t="shared" si="84"/>
        <v>360000</v>
      </c>
      <c r="S35" s="23">
        <f t="shared" si="84"/>
        <v>780000</v>
      </c>
      <c r="T35" s="23">
        <f t="shared" si="84"/>
        <v>780000</v>
      </c>
      <c r="U35" s="23">
        <f t="shared" si="84"/>
        <v>780000</v>
      </c>
      <c r="V35" s="23">
        <f t="shared" si="84"/>
        <v>1140000</v>
      </c>
      <c r="W35" s="23">
        <f t="shared" si="84"/>
        <v>1140000</v>
      </c>
      <c r="X35" s="23">
        <f t="shared" si="84"/>
        <v>1140000</v>
      </c>
      <c r="Y35" s="23">
        <f t="shared" si="84"/>
        <v>1548000</v>
      </c>
      <c r="Z35" s="23">
        <f t="shared" si="84"/>
        <v>1548000</v>
      </c>
      <c r="AA35" s="23">
        <f t="shared" si="84"/>
        <v>1548000</v>
      </c>
      <c r="AB35" s="23">
        <f t="shared" si="84"/>
        <v>1932000</v>
      </c>
      <c r="AC35" s="23">
        <f t="shared" si="84"/>
        <v>1932000</v>
      </c>
      <c r="AD35" s="23">
        <f t="shared" si="84"/>
        <v>1932000</v>
      </c>
      <c r="AE35" s="23">
        <f t="shared" si="84"/>
        <v>3936000</v>
      </c>
      <c r="AF35" s="23">
        <f t="shared" si="84"/>
        <v>3936000</v>
      </c>
      <c r="AG35" s="23">
        <f t="shared" si="84"/>
        <v>3936000</v>
      </c>
      <c r="AH35" s="23">
        <f t="shared" si="84"/>
        <v>4668000</v>
      </c>
      <c r="AI35" s="23">
        <f t="shared" si="84"/>
        <v>4668000</v>
      </c>
      <c r="AJ35" s="23">
        <f t="shared" si="84"/>
        <v>4668000</v>
      </c>
      <c r="AK35" s="23">
        <f t="shared" si="84"/>
        <v>4992000</v>
      </c>
      <c r="AL35" s="23">
        <f t="shared" si="84"/>
        <v>4992000</v>
      </c>
      <c r="AM35" s="23">
        <f t="shared" si="84"/>
        <v>4992000</v>
      </c>
      <c r="AN35" s="23">
        <f t="shared" si="84"/>
        <v>5400000</v>
      </c>
      <c r="AO35" s="23">
        <f t="shared" si="84"/>
        <v>5400000</v>
      </c>
      <c r="AP35" s="23">
        <f t="shared" si="84"/>
        <v>5400000</v>
      </c>
      <c r="AQ35" s="23">
        <f t="shared" si="84"/>
        <v>7380000</v>
      </c>
      <c r="AR35" s="23">
        <f t="shared" si="84"/>
        <v>7380000</v>
      </c>
      <c r="AS35" s="23">
        <f t="shared" si="84"/>
        <v>7380000</v>
      </c>
      <c r="AT35" s="23">
        <f t="shared" si="84"/>
        <v>7860000</v>
      </c>
      <c r="AU35" s="23">
        <f t="shared" si="84"/>
        <v>7860000</v>
      </c>
      <c r="AV35" s="23">
        <f t="shared" si="84"/>
        <v>7860000</v>
      </c>
      <c r="AW35" s="23">
        <f t="shared" si="84"/>
        <v>11976000</v>
      </c>
      <c r="AX35" s="23">
        <f t="shared" si="84"/>
        <v>11976000</v>
      </c>
      <c r="AY35" s="23">
        <f t="shared" si="84"/>
        <v>11976000</v>
      </c>
      <c r="AZ35" s="23">
        <f t="shared" si="84"/>
        <v>12720000</v>
      </c>
      <c r="BA35" s="23">
        <f t="shared" si="84"/>
        <v>12720000</v>
      </c>
      <c r="BB35" s="23">
        <f t="shared" si="84"/>
        <v>12720000</v>
      </c>
      <c r="BC35" s="23">
        <f t="shared" si="84"/>
        <v>13536000</v>
      </c>
      <c r="BD35" s="23">
        <f t="shared" si="84"/>
        <v>13536000</v>
      </c>
      <c r="BE35" s="23">
        <f t="shared" si="84"/>
        <v>13536000</v>
      </c>
      <c r="BF35" s="23">
        <f t="shared" si="84"/>
        <v>14280000</v>
      </c>
      <c r="BG35" s="23">
        <f t="shared" si="84"/>
        <v>14280000</v>
      </c>
      <c r="BH35" s="23">
        <f t="shared" si="84"/>
        <v>14280000</v>
      </c>
      <c r="BI35" s="23">
        <f t="shared" si="84"/>
        <v>21360000</v>
      </c>
      <c r="BJ35" s="23">
        <f t="shared" si="84"/>
        <v>21360000</v>
      </c>
      <c r="BK35" s="23">
        <f t="shared" si="84"/>
        <v>21360000</v>
      </c>
      <c r="BL35" s="23">
        <f t="shared" si="84"/>
        <v>22380000</v>
      </c>
      <c r="BM35" s="23">
        <f t="shared" si="84"/>
        <v>22380000</v>
      </c>
      <c r="BN35" s="23">
        <f t="shared" si="84"/>
        <v>22380000</v>
      </c>
      <c r="BO35" s="23">
        <f t="shared" si="84"/>
        <v>23400000</v>
      </c>
      <c r="BP35" s="23">
        <f t="shared" si="84"/>
        <v>23400000</v>
      </c>
      <c r="BQ35" s="23">
        <f t="shared" si="84"/>
        <v>23400000</v>
      </c>
      <c r="BR35" s="23">
        <f t="shared" si="84"/>
        <v>24420000</v>
      </c>
      <c r="BS35" s="23">
        <f t="shared" si="84"/>
        <v>24420000</v>
      </c>
      <c r="BT35" s="23">
        <f>BT29+BT33</f>
        <v>24420000</v>
      </c>
      <c r="BU35" s="11"/>
      <c r="BV35" s="24">
        <f>SUMIF($M$3:$BT$3,BV$3,$M35:$BT35)</f>
        <v>7560000</v>
      </c>
      <c r="BW35" s="24">
        <f t="shared" si="82"/>
        <v>36252000</v>
      </c>
      <c r="BX35" s="24">
        <f t="shared" si="82"/>
        <v>76896000</v>
      </c>
      <c r="BY35" s="24">
        <f t="shared" si="82"/>
        <v>157536000</v>
      </c>
      <c r="BZ35" s="24">
        <f t="shared" si="82"/>
        <v>274680000</v>
      </c>
    </row>
    <row r="36" spans="1:78" x14ac:dyDescent="0.3">
      <c r="A36" s="32" t="s">
        <v>11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</row>
    <row r="37" spans="1:78" x14ac:dyDescent="0.3">
      <c r="A37" s="22" t="s">
        <v>29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73">
        <f>SUM('Revenue Buildup'!$M35:M$35)/Assumptions!M9</f>
        <v>20000</v>
      </c>
      <c r="N37" s="73">
        <f>SUM('Revenue Buildup'!$M35:N$35)/Assumptions!N9</f>
        <v>40000</v>
      </c>
      <c r="O37" s="73">
        <f>SUM('Revenue Buildup'!$M35:O$35)/Assumptions!O9</f>
        <v>60000</v>
      </c>
      <c r="P37" s="73">
        <f>SUM('Revenue Buildup'!$M35:P$35)/Assumptions!P9</f>
        <v>90000</v>
      </c>
      <c r="Q37" s="73">
        <f>SUM('Revenue Buildup'!$M35:Q$35)/Assumptions!Q9</f>
        <v>120000</v>
      </c>
      <c r="R37" s="73">
        <f>SUM('Revenue Buildup'!$M35:R$35)/Assumptions!R9</f>
        <v>150000</v>
      </c>
      <c r="S37" s="73">
        <f>SUM('Revenue Buildup'!$M35:S$35)/Assumptions!S9</f>
        <v>215000</v>
      </c>
      <c r="T37" s="73">
        <f>SUM('Revenue Buildup'!$M35:T$35)/Assumptions!T9</f>
        <v>280000</v>
      </c>
      <c r="U37" s="73">
        <f>SUM('Revenue Buildup'!$M35:U$35)/Assumptions!U9</f>
        <v>345000</v>
      </c>
      <c r="V37" s="73">
        <f>SUM('Revenue Buildup'!$M35:V$35)/Assumptions!V9</f>
        <v>440000</v>
      </c>
      <c r="W37" s="73">
        <f>SUM('Revenue Buildup'!$M35:W$35)/Assumptions!W9</f>
        <v>535000</v>
      </c>
      <c r="X37" s="74">
        <f>SUM('Revenue Buildup'!M35:X35)/Assumptions!X9</f>
        <v>630000</v>
      </c>
      <c r="Y37" s="74">
        <f>SUM('Revenue Buildup'!N35:Y35)/Assumptions!Y9</f>
        <v>739000</v>
      </c>
      <c r="Z37" s="74">
        <f>SUM('Revenue Buildup'!O35:Z35)/Assumptions!Z9</f>
        <v>848000</v>
      </c>
      <c r="AA37" s="74">
        <f>SUM('Revenue Buildup'!P35:AA35)/Assumptions!AA9</f>
        <v>957000</v>
      </c>
      <c r="AB37" s="74">
        <f>SUM('Revenue Buildup'!Q35:AB35)/Assumptions!AB9</f>
        <v>1088000</v>
      </c>
      <c r="AC37" s="74">
        <f>SUM('Revenue Buildup'!R35:AC35)/Assumptions!AC9</f>
        <v>1219000</v>
      </c>
      <c r="AD37" s="74">
        <f>SUM('Revenue Buildup'!S35:AD35)/Assumptions!AD9</f>
        <v>1350000</v>
      </c>
      <c r="AE37" s="74">
        <f>SUM('Revenue Buildup'!T35:AE35)/Assumptions!AE9</f>
        <v>1613000</v>
      </c>
      <c r="AF37" s="74">
        <f>SUM('Revenue Buildup'!U35:AF35)/Assumptions!AF9</f>
        <v>1876000</v>
      </c>
      <c r="AG37" s="74">
        <f>SUM('Revenue Buildup'!V35:AG35)/Assumptions!AG9</f>
        <v>2139000</v>
      </c>
      <c r="AH37" s="74">
        <f>SUM('Revenue Buildup'!W35:AH35)/Assumptions!AH9</f>
        <v>2433000</v>
      </c>
      <c r="AI37" s="74">
        <f>SUM('Revenue Buildup'!X35:AI35)/Assumptions!AI9</f>
        <v>2727000</v>
      </c>
      <c r="AJ37" s="74">
        <f>SUM('Revenue Buildup'!Y35:AJ35)/Assumptions!AJ9</f>
        <v>3021000</v>
      </c>
      <c r="AK37" s="74">
        <f>SUM('Revenue Buildup'!Z35:AK35)/Assumptions!AK9</f>
        <v>3308000</v>
      </c>
      <c r="AL37" s="74">
        <f>SUM('Revenue Buildup'!AA35:AL35)/Assumptions!AL9</f>
        <v>3595000</v>
      </c>
      <c r="AM37" s="74">
        <f>SUM('Revenue Buildup'!AB35:AM35)/Assumptions!AM9</f>
        <v>3882000</v>
      </c>
      <c r="AN37" s="74">
        <f>SUM('Revenue Buildup'!AC35:AN35)/Assumptions!AN9</f>
        <v>4171000</v>
      </c>
      <c r="AO37" s="74">
        <f>SUM('Revenue Buildup'!AD35:AO35)/Assumptions!AO9</f>
        <v>4460000</v>
      </c>
      <c r="AP37" s="74">
        <f>SUM('Revenue Buildup'!AE35:AP35)/Assumptions!AP9</f>
        <v>4749000</v>
      </c>
      <c r="AQ37" s="74">
        <f>SUM('Revenue Buildup'!AF35:AQ35)/Assumptions!AQ9</f>
        <v>5036000</v>
      </c>
      <c r="AR37" s="74">
        <f>SUM('Revenue Buildup'!AG35:AR35)/Assumptions!AR9</f>
        <v>5323000</v>
      </c>
      <c r="AS37" s="74">
        <f>SUM('Revenue Buildup'!AH35:AS35)/Assumptions!AS9</f>
        <v>5610000</v>
      </c>
      <c r="AT37" s="74">
        <f>SUM('Revenue Buildup'!AI35:AT35)/Assumptions!AT9</f>
        <v>5876000</v>
      </c>
      <c r="AU37" s="74">
        <f>SUM('Revenue Buildup'!AJ35:AU35)/Assumptions!AU9</f>
        <v>6142000</v>
      </c>
      <c r="AV37" s="74">
        <f>SUM('Revenue Buildup'!AK35:AV35)/Assumptions!AV9</f>
        <v>6408000</v>
      </c>
      <c r="AW37" s="74">
        <f>SUM('Revenue Buildup'!AL35:AW35)/Assumptions!AW9</f>
        <v>6990000</v>
      </c>
      <c r="AX37" s="74">
        <f>SUM('Revenue Buildup'!AM35:AX35)/Assumptions!AX9</f>
        <v>7572000</v>
      </c>
      <c r="AY37" s="74">
        <f>SUM('Revenue Buildup'!AN35:AY35)/Assumptions!AY9</f>
        <v>8154000</v>
      </c>
      <c r="AZ37" s="74">
        <f>SUM('Revenue Buildup'!AO35:AZ35)/Assumptions!AZ9</f>
        <v>8764000</v>
      </c>
      <c r="BA37" s="74">
        <f>SUM('Revenue Buildup'!AP35:BA35)/Assumptions!BA9</f>
        <v>9374000</v>
      </c>
      <c r="BB37" s="74">
        <f>SUM('Revenue Buildup'!AQ35:BB35)/Assumptions!BB9</f>
        <v>9984000</v>
      </c>
      <c r="BC37" s="74">
        <f>SUM('Revenue Buildup'!AR35:BC35)/Assumptions!BC9</f>
        <v>10497000</v>
      </c>
      <c r="BD37" s="74">
        <f>SUM('Revenue Buildup'!AS35:BD35)/Assumptions!BD9</f>
        <v>11010000</v>
      </c>
      <c r="BE37" s="74">
        <f>SUM('Revenue Buildup'!AT35:BE35)/Assumptions!BE9</f>
        <v>11523000</v>
      </c>
      <c r="BF37" s="74">
        <f>SUM('Revenue Buildup'!AU35:BF35)/Assumptions!BF9</f>
        <v>12058000</v>
      </c>
      <c r="BG37" s="74">
        <f>SUM('Revenue Buildup'!AV35:BG35)/Assumptions!BG9</f>
        <v>12593000</v>
      </c>
      <c r="BH37" s="74">
        <f>SUM('Revenue Buildup'!AW35:BH35)/Assumptions!BH9</f>
        <v>13128000</v>
      </c>
      <c r="BI37" s="74">
        <f>SUM('Revenue Buildup'!AX35:BI35)/Assumptions!BI9</f>
        <v>13910000</v>
      </c>
      <c r="BJ37" s="74">
        <f>SUM('Revenue Buildup'!AY35:BJ35)/Assumptions!BJ9</f>
        <v>14692000</v>
      </c>
      <c r="BK37" s="74">
        <f>SUM('Revenue Buildup'!AZ35:BK35)/Assumptions!BK9</f>
        <v>15474000</v>
      </c>
      <c r="BL37" s="74">
        <f>SUM('Revenue Buildup'!BA35:BL35)/Assumptions!BL9</f>
        <v>16279000</v>
      </c>
      <c r="BM37" s="74">
        <f>SUM('Revenue Buildup'!BB35:BM35)/Assumptions!BM9</f>
        <v>17084000</v>
      </c>
      <c r="BN37" s="74">
        <f>SUM('Revenue Buildup'!BC35:BN35)/Assumptions!BN9</f>
        <v>17889000</v>
      </c>
      <c r="BO37" s="74">
        <f>SUM('Revenue Buildup'!BD35:BO35)/Assumptions!BO9</f>
        <v>18711000</v>
      </c>
      <c r="BP37" s="74">
        <f>SUM('Revenue Buildup'!BE35:BP35)/Assumptions!BP9</f>
        <v>19533000</v>
      </c>
      <c r="BQ37" s="74">
        <f>SUM('Revenue Buildup'!BF35:BQ35)/Assumptions!BQ9</f>
        <v>20355000</v>
      </c>
      <c r="BR37" s="74">
        <f>SUM('Revenue Buildup'!BG35:BR35)/Assumptions!BR9</f>
        <v>21200000</v>
      </c>
      <c r="BS37" s="74">
        <f>SUM('Revenue Buildup'!BH35:BS35)/Assumptions!BS9</f>
        <v>22045000</v>
      </c>
      <c r="BT37" s="74">
        <f>SUM('Revenue Buildup'!BI35:BT35)/Assumptions!BT9</f>
        <v>22890000</v>
      </c>
      <c r="BU37" s="11"/>
      <c r="BV37" s="24">
        <f>SUMIF($M$3:$BT$3,BV$3,$M37:$BT37)</f>
        <v>2925000</v>
      </c>
      <c r="BW37" s="24">
        <f t="shared" ref="BW37:BZ52" si="85">SUMIF($M$3:$BT$3,BW$3,$M37:$BT37)</f>
        <v>20010000</v>
      </c>
      <c r="BX37" s="24">
        <f t="shared" si="85"/>
        <v>58560000</v>
      </c>
      <c r="BY37" s="24">
        <f t="shared" si="85"/>
        <v>121647000</v>
      </c>
      <c r="BZ37" s="24">
        <f t="shared" si="85"/>
        <v>220062000</v>
      </c>
    </row>
    <row r="38" spans="1:78" x14ac:dyDescent="0.3">
      <c r="A38" s="22" t="s">
        <v>30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75">
        <f>M37*12</f>
        <v>240000</v>
      </c>
      <c r="N38" s="75">
        <f t="shared" ref="N38:BT38" si="86">N37*12</f>
        <v>480000</v>
      </c>
      <c r="O38" s="75">
        <f t="shared" si="86"/>
        <v>720000</v>
      </c>
      <c r="P38" s="75">
        <f t="shared" si="86"/>
        <v>1080000</v>
      </c>
      <c r="Q38" s="75">
        <f t="shared" si="86"/>
        <v>1440000</v>
      </c>
      <c r="R38" s="75">
        <f t="shared" si="86"/>
        <v>1800000</v>
      </c>
      <c r="S38" s="75">
        <f t="shared" si="86"/>
        <v>2580000</v>
      </c>
      <c r="T38" s="75">
        <f t="shared" si="86"/>
        <v>3360000</v>
      </c>
      <c r="U38" s="75">
        <f t="shared" si="86"/>
        <v>4140000</v>
      </c>
      <c r="V38" s="75">
        <f t="shared" si="86"/>
        <v>5280000</v>
      </c>
      <c r="W38" s="75">
        <f t="shared" si="86"/>
        <v>6420000</v>
      </c>
      <c r="X38" s="75">
        <f t="shared" si="86"/>
        <v>7560000</v>
      </c>
      <c r="Y38" s="75">
        <f t="shared" si="86"/>
        <v>8868000</v>
      </c>
      <c r="Z38" s="75">
        <f t="shared" si="86"/>
        <v>10176000</v>
      </c>
      <c r="AA38" s="75">
        <f t="shared" si="86"/>
        <v>11484000</v>
      </c>
      <c r="AB38" s="75">
        <f t="shared" si="86"/>
        <v>13056000</v>
      </c>
      <c r="AC38" s="75">
        <f t="shared" si="86"/>
        <v>14628000</v>
      </c>
      <c r="AD38" s="75">
        <f t="shared" si="86"/>
        <v>16200000</v>
      </c>
      <c r="AE38" s="75">
        <f t="shared" si="86"/>
        <v>19356000</v>
      </c>
      <c r="AF38" s="75">
        <f t="shared" si="86"/>
        <v>22512000</v>
      </c>
      <c r="AG38" s="75">
        <f t="shared" si="86"/>
        <v>25668000</v>
      </c>
      <c r="AH38" s="75">
        <f t="shared" si="86"/>
        <v>29196000</v>
      </c>
      <c r="AI38" s="75">
        <f t="shared" si="86"/>
        <v>32724000</v>
      </c>
      <c r="AJ38" s="75">
        <f t="shared" si="86"/>
        <v>36252000</v>
      </c>
      <c r="AK38" s="75">
        <f t="shared" si="86"/>
        <v>39696000</v>
      </c>
      <c r="AL38" s="75">
        <f t="shared" si="86"/>
        <v>43140000</v>
      </c>
      <c r="AM38" s="75">
        <f t="shared" si="86"/>
        <v>46584000</v>
      </c>
      <c r="AN38" s="75">
        <f t="shared" si="86"/>
        <v>50052000</v>
      </c>
      <c r="AO38" s="75">
        <f t="shared" si="86"/>
        <v>53520000</v>
      </c>
      <c r="AP38" s="75">
        <f t="shared" si="86"/>
        <v>56988000</v>
      </c>
      <c r="AQ38" s="75">
        <f t="shared" si="86"/>
        <v>60432000</v>
      </c>
      <c r="AR38" s="75">
        <f t="shared" si="86"/>
        <v>63876000</v>
      </c>
      <c r="AS38" s="75">
        <f t="shared" si="86"/>
        <v>67320000</v>
      </c>
      <c r="AT38" s="75">
        <f t="shared" si="86"/>
        <v>70512000</v>
      </c>
      <c r="AU38" s="75">
        <f t="shared" si="86"/>
        <v>73704000</v>
      </c>
      <c r="AV38" s="75">
        <f t="shared" si="86"/>
        <v>76896000</v>
      </c>
      <c r="AW38" s="75">
        <f t="shared" si="86"/>
        <v>83880000</v>
      </c>
      <c r="AX38" s="75">
        <f t="shared" si="86"/>
        <v>90864000</v>
      </c>
      <c r="AY38" s="75">
        <f t="shared" si="86"/>
        <v>97848000</v>
      </c>
      <c r="AZ38" s="75">
        <f t="shared" si="86"/>
        <v>105168000</v>
      </c>
      <c r="BA38" s="75">
        <f t="shared" si="86"/>
        <v>112488000</v>
      </c>
      <c r="BB38" s="75">
        <f t="shared" si="86"/>
        <v>119808000</v>
      </c>
      <c r="BC38" s="75">
        <f t="shared" si="86"/>
        <v>125964000</v>
      </c>
      <c r="BD38" s="75">
        <f t="shared" si="86"/>
        <v>132120000</v>
      </c>
      <c r="BE38" s="75">
        <f t="shared" si="86"/>
        <v>138276000</v>
      </c>
      <c r="BF38" s="75">
        <f t="shared" si="86"/>
        <v>144696000</v>
      </c>
      <c r="BG38" s="75">
        <f t="shared" si="86"/>
        <v>151116000</v>
      </c>
      <c r="BH38" s="75">
        <f t="shared" si="86"/>
        <v>157536000</v>
      </c>
      <c r="BI38" s="75">
        <f t="shared" si="86"/>
        <v>166920000</v>
      </c>
      <c r="BJ38" s="75">
        <f t="shared" si="86"/>
        <v>176304000</v>
      </c>
      <c r="BK38" s="75">
        <f t="shared" si="86"/>
        <v>185688000</v>
      </c>
      <c r="BL38" s="75">
        <f t="shared" si="86"/>
        <v>195348000</v>
      </c>
      <c r="BM38" s="75">
        <f t="shared" si="86"/>
        <v>205008000</v>
      </c>
      <c r="BN38" s="75">
        <f t="shared" si="86"/>
        <v>214668000</v>
      </c>
      <c r="BO38" s="75">
        <f t="shared" si="86"/>
        <v>224532000</v>
      </c>
      <c r="BP38" s="75">
        <f t="shared" si="86"/>
        <v>234396000</v>
      </c>
      <c r="BQ38" s="75">
        <f t="shared" si="86"/>
        <v>244260000</v>
      </c>
      <c r="BR38" s="75">
        <f t="shared" si="86"/>
        <v>254400000</v>
      </c>
      <c r="BS38" s="75">
        <f t="shared" si="86"/>
        <v>264540000</v>
      </c>
      <c r="BT38" s="75">
        <f t="shared" si="86"/>
        <v>274680000</v>
      </c>
      <c r="BU38" s="11"/>
      <c r="BZ38" s="72"/>
    </row>
    <row r="39" spans="1:78" x14ac:dyDescent="0.3">
      <c r="A39" s="48" t="s">
        <v>294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</row>
    <row r="40" spans="1:78" x14ac:dyDescent="0.3">
      <c r="A40" s="38" t="s">
        <v>21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>
        <f>M7+M24</f>
        <v>8</v>
      </c>
      <c r="N40" s="23">
        <f t="shared" ref="N40:BT40" si="87">N7+N24</f>
        <v>8</v>
      </c>
      <c r="O40" s="23">
        <f t="shared" si="87"/>
        <v>8</v>
      </c>
      <c r="P40" s="23">
        <f t="shared" si="87"/>
        <v>12</v>
      </c>
      <c r="Q40" s="23">
        <f t="shared" si="87"/>
        <v>12</v>
      </c>
      <c r="R40" s="23">
        <f t="shared" si="87"/>
        <v>12</v>
      </c>
      <c r="S40" s="23">
        <f t="shared" si="87"/>
        <v>26</v>
      </c>
      <c r="T40" s="23">
        <f t="shared" si="87"/>
        <v>26</v>
      </c>
      <c r="U40" s="23">
        <f t="shared" si="87"/>
        <v>26</v>
      </c>
      <c r="V40" s="23">
        <f t="shared" si="87"/>
        <v>38</v>
      </c>
      <c r="W40" s="23">
        <f t="shared" si="87"/>
        <v>38</v>
      </c>
      <c r="X40" s="23">
        <f t="shared" si="87"/>
        <v>38</v>
      </c>
      <c r="Y40" s="23">
        <f t="shared" si="87"/>
        <v>42</v>
      </c>
      <c r="Z40" s="23">
        <f t="shared" si="87"/>
        <v>42</v>
      </c>
      <c r="AA40" s="23">
        <f t="shared" si="87"/>
        <v>42</v>
      </c>
      <c r="AB40" s="23">
        <f t="shared" si="87"/>
        <v>50</v>
      </c>
      <c r="AC40" s="23">
        <f t="shared" si="87"/>
        <v>50</v>
      </c>
      <c r="AD40" s="23">
        <f t="shared" si="87"/>
        <v>50</v>
      </c>
      <c r="AE40" s="23">
        <f t="shared" si="87"/>
        <v>100</v>
      </c>
      <c r="AF40" s="23">
        <f t="shared" si="87"/>
        <v>100</v>
      </c>
      <c r="AG40" s="23">
        <f t="shared" si="87"/>
        <v>100</v>
      </c>
      <c r="AH40" s="23">
        <f t="shared" si="87"/>
        <v>110</v>
      </c>
      <c r="AI40" s="23">
        <f t="shared" si="87"/>
        <v>110</v>
      </c>
      <c r="AJ40" s="23">
        <f t="shared" si="87"/>
        <v>110</v>
      </c>
      <c r="AK40" s="23">
        <f t="shared" si="87"/>
        <v>116</v>
      </c>
      <c r="AL40" s="23">
        <f t="shared" si="87"/>
        <v>116</v>
      </c>
      <c r="AM40" s="23">
        <f t="shared" si="87"/>
        <v>116</v>
      </c>
      <c r="AN40" s="23">
        <f t="shared" si="87"/>
        <v>120</v>
      </c>
      <c r="AO40" s="23">
        <f t="shared" si="87"/>
        <v>120</v>
      </c>
      <c r="AP40" s="23">
        <f t="shared" si="87"/>
        <v>120</v>
      </c>
      <c r="AQ40" s="23">
        <f t="shared" si="87"/>
        <v>126</v>
      </c>
      <c r="AR40" s="23">
        <f t="shared" si="87"/>
        <v>126</v>
      </c>
      <c r="AS40" s="23">
        <f t="shared" si="87"/>
        <v>126</v>
      </c>
      <c r="AT40" s="23">
        <f t="shared" si="87"/>
        <v>130</v>
      </c>
      <c r="AU40" s="23">
        <f t="shared" si="87"/>
        <v>130</v>
      </c>
      <c r="AV40" s="23">
        <f t="shared" si="87"/>
        <v>130</v>
      </c>
      <c r="AW40" s="23">
        <f t="shared" si="87"/>
        <v>205</v>
      </c>
      <c r="AX40" s="23">
        <f t="shared" si="87"/>
        <v>205</v>
      </c>
      <c r="AY40" s="23">
        <f t="shared" si="87"/>
        <v>205</v>
      </c>
      <c r="AZ40" s="23">
        <f t="shared" si="87"/>
        <v>218</v>
      </c>
      <c r="BA40" s="23">
        <f t="shared" si="87"/>
        <v>218</v>
      </c>
      <c r="BB40" s="23">
        <f t="shared" si="87"/>
        <v>218</v>
      </c>
      <c r="BC40" s="23">
        <f t="shared" si="87"/>
        <v>230</v>
      </c>
      <c r="BD40" s="23">
        <f t="shared" si="87"/>
        <v>230</v>
      </c>
      <c r="BE40" s="23">
        <f t="shared" si="87"/>
        <v>230</v>
      </c>
      <c r="BF40" s="23">
        <f t="shared" si="87"/>
        <v>243</v>
      </c>
      <c r="BG40" s="23">
        <f t="shared" si="87"/>
        <v>243</v>
      </c>
      <c r="BH40" s="23">
        <f t="shared" si="87"/>
        <v>243</v>
      </c>
      <c r="BI40" s="23">
        <f t="shared" si="87"/>
        <v>293</v>
      </c>
      <c r="BJ40" s="23">
        <f t="shared" si="87"/>
        <v>293</v>
      </c>
      <c r="BK40" s="23">
        <f t="shared" si="87"/>
        <v>293</v>
      </c>
      <c r="BL40" s="23">
        <f t="shared" si="87"/>
        <v>300</v>
      </c>
      <c r="BM40" s="23">
        <f t="shared" si="87"/>
        <v>300</v>
      </c>
      <c r="BN40" s="23">
        <f t="shared" si="87"/>
        <v>300</v>
      </c>
      <c r="BO40" s="23">
        <f t="shared" si="87"/>
        <v>308</v>
      </c>
      <c r="BP40" s="23">
        <f t="shared" si="87"/>
        <v>308</v>
      </c>
      <c r="BQ40" s="23">
        <f t="shared" si="87"/>
        <v>308</v>
      </c>
      <c r="BR40" s="23">
        <f t="shared" si="87"/>
        <v>315</v>
      </c>
      <c r="BS40" s="23">
        <f t="shared" si="87"/>
        <v>315</v>
      </c>
      <c r="BT40" s="23">
        <f t="shared" si="87"/>
        <v>315</v>
      </c>
      <c r="BU40" s="11"/>
    </row>
    <row r="41" spans="1:78" x14ac:dyDescent="0.3">
      <c r="A41" s="38" t="s">
        <v>22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54">
        <f>M8+M25</f>
        <v>41</v>
      </c>
      <c r="N41" s="23">
        <f>M43</f>
        <v>49</v>
      </c>
      <c r="O41" s="23">
        <f t="shared" ref="O41" si="88">N43</f>
        <v>57</v>
      </c>
      <c r="P41" s="23">
        <f t="shared" ref="P41" si="89">O43</f>
        <v>65</v>
      </c>
      <c r="Q41" s="23">
        <f t="shared" ref="Q41" si="90">P43</f>
        <v>77</v>
      </c>
      <c r="R41" s="23">
        <f t="shared" ref="R41" si="91">Q43</f>
        <v>89</v>
      </c>
      <c r="S41" s="23">
        <f t="shared" ref="S41" si="92">R43</f>
        <v>101</v>
      </c>
      <c r="T41" s="23">
        <f t="shared" ref="T41" si="93">S43</f>
        <v>127</v>
      </c>
      <c r="U41" s="23">
        <f t="shared" ref="U41" si="94">T43</f>
        <v>153</v>
      </c>
      <c r="V41" s="23">
        <f t="shared" ref="V41" si="95">U43</f>
        <v>179</v>
      </c>
      <c r="W41" s="23">
        <f t="shared" ref="W41" si="96">V43</f>
        <v>217</v>
      </c>
      <c r="X41" s="23">
        <f t="shared" ref="X41" si="97">W43</f>
        <v>255</v>
      </c>
      <c r="Y41" s="23">
        <f>X43</f>
        <v>293</v>
      </c>
      <c r="Z41" s="23">
        <f t="shared" ref="Z41" si="98">Y43</f>
        <v>334</v>
      </c>
      <c r="AA41" s="23">
        <f t="shared" ref="AA41" si="99">Z43</f>
        <v>375</v>
      </c>
      <c r="AB41" s="23">
        <f t="shared" ref="AB41" si="100">AA43</f>
        <v>416</v>
      </c>
      <c r="AC41" s="23">
        <f t="shared" ref="AC41" si="101">AB43</f>
        <v>464</v>
      </c>
      <c r="AD41" s="23">
        <f t="shared" ref="AD41" si="102">AC43</f>
        <v>512</v>
      </c>
      <c r="AE41" s="23">
        <f t="shared" ref="AE41" si="103">AD43</f>
        <v>560</v>
      </c>
      <c r="AF41" s="23">
        <f t="shared" ref="AF41" si="104">AE43</f>
        <v>656</v>
      </c>
      <c r="AG41" s="23">
        <f t="shared" ref="AG41" si="105">AF43</f>
        <v>752</v>
      </c>
      <c r="AH41" s="23">
        <f t="shared" ref="AH41" si="106">AG43</f>
        <v>848</v>
      </c>
      <c r="AI41" s="23">
        <f t="shared" ref="AI41" si="107">AH43</f>
        <v>952</v>
      </c>
      <c r="AJ41" s="23">
        <f t="shared" ref="AJ41" si="108">AI43</f>
        <v>1056</v>
      </c>
      <c r="AK41" s="23">
        <f t="shared" ref="AK41" si="109">AJ43</f>
        <v>1160</v>
      </c>
      <c r="AL41" s="23">
        <f t="shared" ref="AL41" si="110">AK43</f>
        <v>1270</v>
      </c>
      <c r="AM41" s="23">
        <f t="shared" ref="AM41" si="111">AL43</f>
        <v>1380</v>
      </c>
      <c r="AN41" s="23">
        <f t="shared" ref="AN41" si="112">AM43</f>
        <v>1490</v>
      </c>
      <c r="AO41" s="23">
        <f t="shared" ref="AO41" si="113">AN43</f>
        <v>1602</v>
      </c>
      <c r="AP41" s="23">
        <f t="shared" ref="AP41" si="114">AO43</f>
        <v>1714</v>
      </c>
      <c r="AQ41" s="23">
        <f t="shared" ref="AQ41" si="115">AP43</f>
        <v>1826</v>
      </c>
      <c r="AR41" s="23">
        <f t="shared" ref="AR41" si="116">AQ43</f>
        <v>1937</v>
      </c>
      <c r="AS41" s="23">
        <f t="shared" ref="AS41" si="117">AR43</f>
        <v>2048</v>
      </c>
      <c r="AT41" s="23">
        <f t="shared" ref="AT41" si="118">AS43</f>
        <v>2159</v>
      </c>
      <c r="AU41" s="23">
        <f t="shared" ref="AU41" si="119">AT43</f>
        <v>2272</v>
      </c>
      <c r="AV41" s="23">
        <f t="shared" ref="AV41" si="120">AU43</f>
        <v>2385</v>
      </c>
      <c r="AW41" s="23">
        <f t="shared" ref="AW41" si="121">AV43</f>
        <v>2498</v>
      </c>
      <c r="AX41" s="23">
        <f t="shared" ref="AX41" si="122">AW43</f>
        <v>2686</v>
      </c>
      <c r="AY41" s="23">
        <f t="shared" ref="AY41" si="123">AX43</f>
        <v>2874</v>
      </c>
      <c r="AZ41" s="23">
        <f t="shared" ref="AZ41" si="124">AY43</f>
        <v>3062</v>
      </c>
      <c r="BA41" s="23">
        <f t="shared" ref="BA41" si="125">AZ43</f>
        <v>3262</v>
      </c>
      <c r="BB41" s="23">
        <f t="shared" ref="BB41" si="126">BA43</f>
        <v>3462</v>
      </c>
      <c r="BC41" s="23">
        <f t="shared" ref="BC41" si="127">BB43</f>
        <v>3662</v>
      </c>
      <c r="BD41" s="23">
        <f t="shared" ref="BD41" si="128">BC43</f>
        <v>3873</v>
      </c>
      <c r="BE41" s="23">
        <f t="shared" ref="BE41" si="129">BD43</f>
        <v>4084</v>
      </c>
      <c r="BF41" s="23">
        <f t="shared" ref="BF41" si="130">BE43</f>
        <v>4295</v>
      </c>
      <c r="BG41" s="23">
        <f t="shared" ref="BG41" si="131">BF43</f>
        <v>4518</v>
      </c>
      <c r="BH41" s="23">
        <f t="shared" ref="BH41" si="132">BG43</f>
        <v>4741</v>
      </c>
      <c r="BI41" s="23">
        <f t="shared" ref="BI41" si="133">BH43</f>
        <v>4964</v>
      </c>
      <c r="BJ41" s="23">
        <f t="shared" ref="BJ41" si="134">BI43</f>
        <v>5234</v>
      </c>
      <c r="BK41" s="23">
        <f t="shared" ref="BK41" si="135">BJ43</f>
        <v>5504</v>
      </c>
      <c r="BL41" s="23">
        <f t="shared" ref="BL41" si="136">BK43</f>
        <v>5774</v>
      </c>
      <c r="BM41" s="23">
        <f t="shared" ref="BM41" si="137">BL43</f>
        <v>6051</v>
      </c>
      <c r="BN41" s="23">
        <f t="shared" ref="BN41" si="138">BM43</f>
        <v>6328</v>
      </c>
      <c r="BO41" s="23">
        <f t="shared" ref="BO41" si="139">BN43</f>
        <v>6605</v>
      </c>
      <c r="BP41" s="23">
        <f t="shared" ref="BP41" si="140">BO43</f>
        <v>6889</v>
      </c>
      <c r="BQ41" s="23">
        <f t="shared" ref="BQ41" si="141">BP43</f>
        <v>7173</v>
      </c>
      <c r="BR41" s="23">
        <f t="shared" ref="BR41" si="142">BQ43</f>
        <v>7457</v>
      </c>
      <c r="BS41" s="23">
        <f t="shared" ref="BS41" si="143">BR43</f>
        <v>7747</v>
      </c>
      <c r="BT41" s="23">
        <f t="shared" ref="BT41" si="144">BS43</f>
        <v>8037</v>
      </c>
      <c r="BU41" s="11"/>
    </row>
    <row r="42" spans="1:78" x14ac:dyDescent="0.3">
      <c r="A42" s="38" t="s">
        <v>13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23">
        <f>Y9+Y26</f>
        <v>-1</v>
      </c>
      <c r="Z42" s="23">
        <f t="shared" ref="Z42:BT42" si="145">Z9+Z26</f>
        <v>-1</v>
      </c>
      <c r="AA42" s="23">
        <f t="shared" si="145"/>
        <v>-1</v>
      </c>
      <c r="AB42" s="23">
        <f t="shared" si="145"/>
        <v>-2</v>
      </c>
      <c r="AC42" s="23">
        <f t="shared" si="145"/>
        <v>-2</v>
      </c>
      <c r="AD42" s="23">
        <f t="shared" si="145"/>
        <v>-2</v>
      </c>
      <c r="AE42" s="23">
        <f t="shared" si="145"/>
        <v>-4</v>
      </c>
      <c r="AF42" s="23">
        <f t="shared" si="145"/>
        <v>-4</v>
      </c>
      <c r="AG42" s="23">
        <f t="shared" si="145"/>
        <v>-4</v>
      </c>
      <c r="AH42" s="23">
        <f t="shared" si="145"/>
        <v>-6</v>
      </c>
      <c r="AI42" s="23">
        <f t="shared" si="145"/>
        <v>-6</v>
      </c>
      <c r="AJ42" s="23">
        <f t="shared" si="145"/>
        <v>-6</v>
      </c>
      <c r="AK42" s="23">
        <f t="shared" si="145"/>
        <v>-6</v>
      </c>
      <c r="AL42" s="23">
        <f t="shared" si="145"/>
        <v>-6</v>
      </c>
      <c r="AM42" s="23">
        <f t="shared" si="145"/>
        <v>-6</v>
      </c>
      <c r="AN42" s="23">
        <f t="shared" si="145"/>
        <v>-8</v>
      </c>
      <c r="AO42" s="23">
        <f t="shared" si="145"/>
        <v>-8</v>
      </c>
      <c r="AP42" s="23">
        <f t="shared" si="145"/>
        <v>-8</v>
      </c>
      <c r="AQ42" s="23">
        <f t="shared" si="145"/>
        <v>-15</v>
      </c>
      <c r="AR42" s="23">
        <f t="shared" si="145"/>
        <v>-15</v>
      </c>
      <c r="AS42" s="23">
        <f t="shared" si="145"/>
        <v>-15</v>
      </c>
      <c r="AT42" s="23">
        <f t="shared" si="145"/>
        <v>-17</v>
      </c>
      <c r="AU42" s="23">
        <f t="shared" si="145"/>
        <v>-17</v>
      </c>
      <c r="AV42" s="23">
        <f t="shared" si="145"/>
        <v>-17</v>
      </c>
      <c r="AW42" s="23">
        <f t="shared" si="145"/>
        <v>-17</v>
      </c>
      <c r="AX42" s="23">
        <f t="shared" si="145"/>
        <v>-17</v>
      </c>
      <c r="AY42" s="23">
        <f t="shared" si="145"/>
        <v>-17</v>
      </c>
      <c r="AZ42" s="23">
        <f t="shared" si="145"/>
        <v>-18</v>
      </c>
      <c r="BA42" s="23">
        <f t="shared" si="145"/>
        <v>-18</v>
      </c>
      <c r="BB42" s="23">
        <f t="shared" si="145"/>
        <v>-18</v>
      </c>
      <c r="BC42" s="23">
        <f t="shared" si="145"/>
        <v>-19</v>
      </c>
      <c r="BD42" s="23">
        <f t="shared" si="145"/>
        <v>-19</v>
      </c>
      <c r="BE42" s="23">
        <f t="shared" si="145"/>
        <v>-19</v>
      </c>
      <c r="BF42" s="23">
        <f t="shared" si="145"/>
        <v>-20</v>
      </c>
      <c r="BG42" s="23">
        <f t="shared" si="145"/>
        <v>-20</v>
      </c>
      <c r="BH42" s="23">
        <f t="shared" si="145"/>
        <v>-20</v>
      </c>
      <c r="BI42" s="23">
        <f t="shared" si="145"/>
        <v>-23</v>
      </c>
      <c r="BJ42" s="23">
        <f t="shared" si="145"/>
        <v>-23</v>
      </c>
      <c r="BK42" s="23">
        <f t="shared" si="145"/>
        <v>-23</v>
      </c>
      <c r="BL42" s="23">
        <f t="shared" si="145"/>
        <v>-23</v>
      </c>
      <c r="BM42" s="23">
        <f t="shared" si="145"/>
        <v>-23</v>
      </c>
      <c r="BN42" s="23">
        <f t="shared" si="145"/>
        <v>-23</v>
      </c>
      <c r="BO42" s="23">
        <f t="shared" si="145"/>
        <v>-24</v>
      </c>
      <c r="BP42" s="23">
        <f t="shared" si="145"/>
        <v>-24</v>
      </c>
      <c r="BQ42" s="23">
        <f t="shared" si="145"/>
        <v>-24</v>
      </c>
      <c r="BR42" s="23">
        <f t="shared" si="145"/>
        <v>-25</v>
      </c>
      <c r="BS42" s="23">
        <f t="shared" si="145"/>
        <v>-25</v>
      </c>
      <c r="BT42" s="23">
        <f t="shared" si="145"/>
        <v>-25</v>
      </c>
      <c r="BU42" s="11"/>
    </row>
    <row r="43" spans="1:78" x14ac:dyDescent="0.3">
      <c r="A43" s="38" t="s">
        <v>23</v>
      </c>
      <c r="B43" s="23"/>
      <c r="C43" s="23"/>
      <c r="D43" s="23"/>
      <c r="E43" s="23"/>
      <c r="F43" s="23"/>
      <c r="G43" s="23"/>
      <c r="H43" s="23"/>
      <c r="I43" s="23"/>
      <c r="J43" s="23"/>
      <c r="K43" s="23" t="s">
        <v>24</v>
      </c>
      <c r="L43" s="23"/>
      <c r="M43" s="33">
        <f>SUM(M40:M42)</f>
        <v>49</v>
      </c>
      <c r="N43" s="33">
        <f t="shared" ref="N43:X43" si="146">SUM(N40:N42)</f>
        <v>57</v>
      </c>
      <c r="O43" s="33">
        <f t="shared" si="146"/>
        <v>65</v>
      </c>
      <c r="P43" s="33">
        <f t="shared" si="146"/>
        <v>77</v>
      </c>
      <c r="Q43" s="33">
        <f t="shared" si="146"/>
        <v>89</v>
      </c>
      <c r="R43" s="33">
        <f t="shared" si="146"/>
        <v>101</v>
      </c>
      <c r="S43" s="33">
        <f t="shared" si="146"/>
        <v>127</v>
      </c>
      <c r="T43" s="33">
        <f t="shared" si="146"/>
        <v>153</v>
      </c>
      <c r="U43" s="33">
        <f t="shared" si="146"/>
        <v>179</v>
      </c>
      <c r="V43" s="33">
        <f t="shared" si="146"/>
        <v>217</v>
      </c>
      <c r="W43" s="33">
        <f t="shared" si="146"/>
        <v>255</v>
      </c>
      <c r="X43" s="33">
        <f t="shared" si="146"/>
        <v>293</v>
      </c>
      <c r="Y43" s="33">
        <f>SUM(Y40:Y42)</f>
        <v>334</v>
      </c>
      <c r="Z43" s="33">
        <f t="shared" ref="Z43:BT43" si="147">SUM(Z40:Z42)</f>
        <v>375</v>
      </c>
      <c r="AA43" s="33">
        <f t="shared" si="147"/>
        <v>416</v>
      </c>
      <c r="AB43" s="33">
        <f t="shared" si="147"/>
        <v>464</v>
      </c>
      <c r="AC43" s="33">
        <f t="shared" si="147"/>
        <v>512</v>
      </c>
      <c r="AD43" s="268">
        <f t="shared" si="147"/>
        <v>560</v>
      </c>
      <c r="AE43" s="33">
        <f t="shared" si="147"/>
        <v>656</v>
      </c>
      <c r="AF43" s="33">
        <f t="shared" si="147"/>
        <v>752</v>
      </c>
      <c r="AG43" s="33">
        <f t="shared" si="147"/>
        <v>848</v>
      </c>
      <c r="AH43" s="33">
        <f t="shared" si="147"/>
        <v>952</v>
      </c>
      <c r="AI43" s="33">
        <f t="shared" si="147"/>
        <v>1056</v>
      </c>
      <c r="AJ43" s="33">
        <f t="shared" si="147"/>
        <v>1160</v>
      </c>
      <c r="AK43" s="33">
        <f t="shared" si="147"/>
        <v>1270</v>
      </c>
      <c r="AL43" s="33">
        <f t="shared" si="147"/>
        <v>1380</v>
      </c>
      <c r="AM43" s="33">
        <f t="shared" si="147"/>
        <v>1490</v>
      </c>
      <c r="AN43" s="33">
        <f t="shared" si="147"/>
        <v>1602</v>
      </c>
      <c r="AO43" s="33">
        <f t="shared" si="147"/>
        <v>1714</v>
      </c>
      <c r="AP43" s="33">
        <f t="shared" si="147"/>
        <v>1826</v>
      </c>
      <c r="AQ43" s="33">
        <f t="shared" si="147"/>
        <v>1937</v>
      </c>
      <c r="AR43" s="33">
        <f t="shared" si="147"/>
        <v>2048</v>
      </c>
      <c r="AS43" s="33">
        <f t="shared" si="147"/>
        <v>2159</v>
      </c>
      <c r="AT43" s="33">
        <f t="shared" si="147"/>
        <v>2272</v>
      </c>
      <c r="AU43" s="33">
        <f t="shared" si="147"/>
        <v>2385</v>
      </c>
      <c r="AV43" s="33">
        <f t="shared" si="147"/>
        <v>2498</v>
      </c>
      <c r="AW43" s="33">
        <f t="shared" si="147"/>
        <v>2686</v>
      </c>
      <c r="AX43" s="33">
        <f t="shared" si="147"/>
        <v>2874</v>
      </c>
      <c r="AY43" s="33">
        <f t="shared" si="147"/>
        <v>3062</v>
      </c>
      <c r="AZ43" s="33">
        <f t="shared" si="147"/>
        <v>3262</v>
      </c>
      <c r="BA43" s="33">
        <f t="shared" si="147"/>
        <v>3462</v>
      </c>
      <c r="BB43" s="33">
        <f t="shared" si="147"/>
        <v>3662</v>
      </c>
      <c r="BC43" s="33">
        <f t="shared" si="147"/>
        <v>3873</v>
      </c>
      <c r="BD43" s="33">
        <f t="shared" si="147"/>
        <v>4084</v>
      </c>
      <c r="BE43" s="33">
        <f t="shared" si="147"/>
        <v>4295</v>
      </c>
      <c r="BF43" s="33">
        <f t="shared" si="147"/>
        <v>4518</v>
      </c>
      <c r="BG43" s="33">
        <f t="shared" si="147"/>
        <v>4741</v>
      </c>
      <c r="BH43" s="33">
        <f t="shared" si="147"/>
        <v>4964</v>
      </c>
      <c r="BI43" s="33">
        <f t="shared" si="147"/>
        <v>5234</v>
      </c>
      <c r="BJ43" s="33">
        <f t="shared" si="147"/>
        <v>5504</v>
      </c>
      <c r="BK43" s="33">
        <f t="shared" si="147"/>
        <v>5774</v>
      </c>
      <c r="BL43" s="33">
        <f t="shared" si="147"/>
        <v>6051</v>
      </c>
      <c r="BM43" s="33">
        <f t="shared" si="147"/>
        <v>6328</v>
      </c>
      <c r="BN43" s="33">
        <f t="shared" si="147"/>
        <v>6605</v>
      </c>
      <c r="BO43" s="33">
        <f t="shared" si="147"/>
        <v>6889</v>
      </c>
      <c r="BP43" s="33">
        <f t="shared" si="147"/>
        <v>7173</v>
      </c>
      <c r="BQ43" s="33">
        <f t="shared" si="147"/>
        <v>7457</v>
      </c>
      <c r="BR43" s="33">
        <f t="shared" si="147"/>
        <v>7747</v>
      </c>
      <c r="BS43" s="33">
        <f t="shared" si="147"/>
        <v>8037</v>
      </c>
      <c r="BT43" s="268">
        <f t="shared" si="147"/>
        <v>8327</v>
      </c>
      <c r="BU43" s="11"/>
    </row>
    <row r="44" spans="1:78" x14ac:dyDescent="0.3">
      <c r="A44" s="34" t="s">
        <v>25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11"/>
    </row>
    <row r="45" spans="1:78" x14ac:dyDescent="0.3">
      <c r="A45" s="23" t="s">
        <v>16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4">
        <f>M12+M29</f>
        <v>720000</v>
      </c>
      <c r="N45" s="24">
        <f t="shared" ref="N45:BT45" si="148">N12+N29</f>
        <v>720000</v>
      </c>
      <c r="O45" s="24">
        <f t="shared" si="148"/>
        <v>720000</v>
      </c>
      <c r="P45" s="24">
        <f t="shared" si="148"/>
        <v>1080000</v>
      </c>
      <c r="Q45" s="24">
        <f t="shared" si="148"/>
        <v>1080000</v>
      </c>
      <c r="R45" s="24">
        <f t="shared" si="148"/>
        <v>1080000</v>
      </c>
      <c r="S45" s="24">
        <f t="shared" si="148"/>
        <v>2340000</v>
      </c>
      <c r="T45" s="24">
        <f t="shared" si="148"/>
        <v>2340000</v>
      </c>
      <c r="U45" s="24">
        <f t="shared" si="148"/>
        <v>2340000</v>
      </c>
      <c r="V45" s="24">
        <f t="shared" si="148"/>
        <v>3420000</v>
      </c>
      <c r="W45" s="24">
        <f t="shared" si="148"/>
        <v>3420000</v>
      </c>
      <c r="X45" s="24">
        <f t="shared" si="148"/>
        <v>3420000</v>
      </c>
      <c r="Y45" s="24">
        <f t="shared" si="148"/>
        <v>3780000</v>
      </c>
      <c r="Z45" s="24">
        <f t="shared" si="148"/>
        <v>3780000</v>
      </c>
      <c r="AA45" s="24">
        <f t="shared" si="148"/>
        <v>3780000</v>
      </c>
      <c r="AB45" s="24">
        <f t="shared" si="148"/>
        <v>4500000</v>
      </c>
      <c r="AC45" s="24">
        <f t="shared" si="148"/>
        <v>4500000</v>
      </c>
      <c r="AD45" s="24">
        <f t="shared" si="148"/>
        <v>4500000</v>
      </c>
      <c r="AE45" s="24">
        <f t="shared" si="148"/>
        <v>9000000</v>
      </c>
      <c r="AF45" s="24">
        <f t="shared" si="148"/>
        <v>9000000</v>
      </c>
      <c r="AG45" s="24">
        <f t="shared" si="148"/>
        <v>9000000</v>
      </c>
      <c r="AH45" s="24">
        <f t="shared" si="148"/>
        <v>9900000</v>
      </c>
      <c r="AI45" s="24">
        <f t="shared" si="148"/>
        <v>9900000</v>
      </c>
      <c r="AJ45" s="24">
        <f t="shared" si="148"/>
        <v>9900000</v>
      </c>
      <c r="AK45" s="24">
        <f t="shared" si="148"/>
        <v>10440000</v>
      </c>
      <c r="AL45" s="24">
        <f t="shared" si="148"/>
        <v>10440000</v>
      </c>
      <c r="AM45" s="24">
        <f t="shared" si="148"/>
        <v>10440000</v>
      </c>
      <c r="AN45" s="24">
        <f t="shared" si="148"/>
        <v>10800000</v>
      </c>
      <c r="AO45" s="24">
        <f t="shared" si="148"/>
        <v>10800000</v>
      </c>
      <c r="AP45" s="24">
        <f t="shared" si="148"/>
        <v>10800000</v>
      </c>
      <c r="AQ45" s="24">
        <f t="shared" si="148"/>
        <v>11340000</v>
      </c>
      <c r="AR45" s="24">
        <f t="shared" si="148"/>
        <v>11340000</v>
      </c>
      <c r="AS45" s="24">
        <f t="shared" si="148"/>
        <v>11340000</v>
      </c>
      <c r="AT45" s="24">
        <f t="shared" si="148"/>
        <v>11700000</v>
      </c>
      <c r="AU45" s="24">
        <f t="shared" si="148"/>
        <v>11700000</v>
      </c>
      <c r="AV45" s="24">
        <f t="shared" si="148"/>
        <v>11700000</v>
      </c>
      <c r="AW45" s="24">
        <f t="shared" si="148"/>
        <v>16800000</v>
      </c>
      <c r="AX45" s="24">
        <f t="shared" si="148"/>
        <v>16800000</v>
      </c>
      <c r="AY45" s="24">
        <f t="shared" si="148"/>
        <v>16800000</v>
      </c>
      <c r="AZ45" s="24">
        <f t="shared" si="148"/>
        <v>17760000</v>
      </c>
      <c r="BA45" s="24">
        <f t="shared" si="148"/>
        <v>17760000</v>
      </c>
      <c r="BB45" s="24">
        <f t="shared" si="148"/>
        <v>17760000</v>
      </c>
      <c r="BC45" s="24">
        <f t="shared" si="148"/>
        <v>18600000</v>
      </c>
      <c r="BD45" s="24">
        <f t="shared" si="148"/>
        <v>18600000</v>
      </c>
      <c r="BE45" s="24">
        <f t="shared" si="148"/>
        <v>18600000</v>
      </c>
      <c r="BF45" s="24">
        <f t="shared" si="148"/>
        <v>19560000</v>
      </c>
      <c r="BG45" s="24">
        <f t="shared" si="148"/>
        <v>19560000</v>
      </c>
      <c r="BH45" s="24">
        <f t="shared" si="148"/>
        <v>19560000</v>
      </c>
      <c r="BI45" s="24">
        <f t="shared" si="148"/>
        <v>23160000</v>
      </c>
      <c r="BJ45" s="24">
        <f t="shared" si="148"/>
        <v>23160000</v>
      </c>
      <c r="BK45" s="24">
        <f t="shared" si="148"/>
        <v>23160000</v>
      </c>
      <c r="BL45" s="24">
        <f t="shared" si="148"/>
        <v>23700000</v>
      </c>
      <c r="BM45" s="24">
        <f t="shared" si="148"/>
        <v>23700000</v>
      </c>
      <c r="BN45" s="24">
        <f t="shared" si="148"/>
        <v>23700000</v>
      </c>
      <c r="BO45" s="24">
        <f t="shared" si="148"/>
        <v>24360000</v>
      </c>
      <c r="BP45" s="24">
        <f t="shared" si="148"/>
        <v>24360000</v>
      </c>
      <c r="BQ45" s="24">
        <f t="shared" si="148"/>
        <v>24360000</v>
      </c>
      <c r="BR45" s="24">
        <f t="shared" si="148"/>
        <v>24900000</v>
      </c>
      <c r="BS45" s="24">
        <f t="shared" si="148"/>
        <v>24900000</v>
      </c>
      <c r="BT45" s="24">
        <f t="shared" si="148"/>
        <v>24900000</v>
      </c>
      <c r="BU45" s="11"/>
    </row>
    <row r="46" spans="1:78" x14ac:dyDescent="0.3">
      <c r="A46" s="36" t="s">
        <v>26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11"/>
    </row>
    <row r="47" spans="1:78" x14ac:dyDescent="0.3">
      <c r="A47" s="23" t="s">
        <v>88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23">
        <f>Y14+Y31</f>
        <v>600000</v>
      </c>
      <c r="Z47" s="23">
        <f t="shared" ref="Z47:BT47" si="149">Z14+Z31</f>
        <v>600000</v>
      </c>
      <c r="AA47" s="23">
        <f t="shared" si="149"/>
        <v>600000</v>
      </c>
      <c r="AB47" s="23">
        <f t="shared" si="149"/>
        <v>840000</v>
      </c>
      <c r="AC47" s="23">
        <f t="shared" si="149"/>
        <v>840000</v>
      </c>
      <c r="AD47" s="23">
        <f t="shared" si="149"/>
        <v>840000</v>
      </c>
      <c r="AE47" s="23">
        <f t="shared" si="149"/>
        <v>1860000</v>
      </c>
      <c r="AF47" s="23">
        <f t="shared" si="149"/>
        <v>1860000</v>
      </c>
      <c r="AG47" s="23">
        <f t="shared" si="149"/>
        <v>1860000</v>
      </c>
      <c r="AH47" s="23">
        <f t="shared" si="149"/>
        <v>2700000</v>
      </c>
      <c r="AI47" s="23">
        <f t="shared" si="149"/>
        <v>2700000</v>
      </c>
      <c r="AJ47" s="23">
        <f t="shared" si="149"/>
        <v>2700000</v>
      </c>
      <c r="AK47" s="23">
        <f t="shared" si="149"/>
        <v>3060000</v>
      </c>
      <c r="AL47" s="23">
        <f t="shared" si="149"/>
        <v>3060000</v>
      </c>
      <c r="AM47" s="23">
        <f t="shared" si="149"/>
        <v>3060000</v>
      </c>
      <c r="AN47" s="23">
        <f t="shared" si="149"/>
        <v>3540000</v>
      </c>
      <c r="AO47" s="23">
        <f t="shared" si="149"/>
        <v>3540000</v>
      </c>
      <c r="AP47" s="23">
        <f t="shared" si="149"/>
        <v>3540000</v>
      </c>
      <c r="AQ47" s="23">
        <f t="shared" si="149"/>
        <v>7200000</v>
      </c>
      <c r="AR47" s="23">
        <f t="shared" si="149"/>
        <v>7200000</v>
      </c>
      <c r="AS47" s="23">
        <f t="shared" si="149"/>
        <v>7200000</v>
      </c>
      <c r="AT47" s="23">
        <f t="shared" si="149"/>
        <v>7860000</v>
      </c>
      <c r="AU47" s="23">
        <f t="shared" si="149"/>
        <v>7860000</v>
      </c>
      <c r="AV47" s="23">
        <f t="shared" si="149"/>
        <v>7860000</v>
      </c>
      <c r="AW47" s="23">
        <f t="shared" si="149"/>
        <v>8400000</v>
      </c>
      <c r="AX47" s="23">
        <f t="shared" si="149"/>
        <v>8400000</v>
      </c>
      <c r="AY47" s="23">
        <f t="shared" si="149"/>
        <v>8400000</v>
      </c>
      <c r="AZ47" s="23">
        <f t="shared" si="149"/>
        <v>8640000</v>
      </c>
      <c r="BA47" s="23">
        <f t="shared" si="149"/>
        <v>8640000</v>
      </c>
      <c r="BB47" s="23">
        <f t="shared" si="149"/>
        <v>8640000</v>
      </c>
      <c r="BC47" s="23">
        <f t="shared" si="149"/>
        <v>9060000</v>
      </c>
      <c r="BD47" s="23">
        <f t="shared" si="149"/>
        <v>9060000</v>
      </c>
      <c r="BE47" s="23">
        <f t="shared" si="149"/>
        <v>9060000</v>
      </c>
      <c r="BF47" s="23">
        <f t="shared" si="149"/>
        <v>9300000</v>
      </c>
      <c r="BG47" s="23">
        <f t="shared" si="149"/>
        <v>9300000</v>
      </c>
      <c r="BH47" s="23">
        <f t="shared" si="149"/>
        <v>9300000</v>
      </c>
      <c r="BI47" s="23">
        <f t="shared" si="149"/>
        <v>14040000</v>
      </c>
      <c r="BJ47" s="23">
        <f t="shared" si="149"/>
        <v>14040000</v>
      </c>
      <c r="BK47" s="23">
        <f t="shared" si="149"/>
        <v>14040000</v>
      </c>
      <c r="BL47" s="23">
        <f t="shared" si="149"/>
        <v>15000000</v>
      </c>
      <c r="BM47" s="23">
        <f t="shared" si="149"/>
        <v>15000000</v>
      </c>
      <c r="BN47" s="23">
        <f t="shared" si="149"/>
        <v>15000000</v>
      </c>
      <c r="BO47" s="23">
        <f t="shared" si="149"/>
        <v>15720000</v>
      </c>
      <c r="BP47" s="23">
        <f t="shared" si="149"/>
        <v>15720000</v>
      </c>
      <c r="BQ47" s="23">
        <f t="shared" si="149"/>
        <v>15720000</v>
      </c>
      <c r="BR47" s="23">
        <f t="shared" si="149"/>
        <v>16560000</v>
      </c>
      <c r="BS47" s="23">
        <f t="shared" si="149"/>
        <v>16560000</v>
      </c>
      <c r="BT47" s="23">
        <f t="shared" si="149"/>
        <v>16560000</v>
      </c>
      <c r="BU47" s="11"/>
    </row>
    <row r="48" spans="1:78" x14ac:dyDescent="0.3">
      <c r="A48" s="23" t="s">
        <v>89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23">
        <f>Y15+Y32</f>
        <v>120000</v>
      </c>
      <c r="Z48" s="23">
        <f t="shared" ref="Z48:BT48" si="150">Z15+Z32</f>
        <v>120000</v>
      </c>
      <c r="AA48" s="23">
        <f t="shared" si="150"/>
        <v>120000</v>
      </c>
      <c r="AB48" s="23">
        <f t="shared" si="150"/>
        <v>168000</v>
      </c>
      <c r="AC48" s="23">
        <f t="shared" si="150"/>
        <v>168000</v>
      </c>
      <c r="AD48" s="23">
        <f t="shared" si="150"/>
        <v>168000</v>
      </c>
      <c r="AE48" s="23">
        <f t="shared" si="150"/>
        <v>372000</v>
      </c>
      <c r="AF48" s="23">
        <f t="shared" si="150"/>
        <v>372000</v>
      </c>
      <c r="AG48" s="23">
        <f t="shared" si="150"/>
        <v>372000</v>
      </c>
      <c r="AH48" s="23">
        <f t="shared" si="150"/>
        <v>540000</v>
      </c>
      <c r="AI48" s="23">
        <f t="shared" si="150"/>
        <v>540000</v>
      </c>
      <c r="AJ48" s="23">
        <f t="shared" si="150"/>
        <v>540000</v>
      </c>
      <c r="AK48" s="23">
        <f t="shared" si="150"/>
        <v>612000</v>
      </c>
      <c r="AL48" s="23">
        <f t="shared" si="150"/>
        <v>612000</v>
      </c>
      <c r="AM48" s="23">
        <f t="shared" si="150"/>
        <v>612000</v>
      </c>
      <c r="AN48" s="23">
        <f t="shared" si="150"/>
        <v>708000</v>
      </c>
      <c r="AO48" s="23">
        <f t="shared" si="150"/>
        <v>708000</v>
      </c>
      <c r="AP48" s="23">
        <f t="shared" si="150"/>
        <v>708000</v>
      </c>
      <c r="AQ48" s="23">
        <f t="shared" si="150"/>
        <v>1440000</v>
      </c>
      <c r="AR48" s="23">
        <f t="shared" si="150"/>
        <v>1440000</v>
      </c>
      <c r="AS48" s="23">
        <f t="shared" si="150"/>
        <v>1440000</v>
      </c>
      <c r="AT48" s="23">
        <f t="shared" si="150"/>
        <v>1572000</v>
      </c>
      <c r="AU48" s="23">
        <f t="shared" si="150"/>
        <v>1572000</v>
      </c>
      <c r="AV48" s="23">
        <f t="shared" si="150"/>
        <v>1572000</v>
      </c>
      <c r="AW48" s="23">
        <f t="shared" si="150"/>
        <v>1680000</v>
      </c>
      <c r="AX48" s="23">
        <f t="shared" si="150"/>
        <v>1680000</v>
      </c>
      <c r="AY48" s="23">
        <f t="shared" si="150"/>
        <v>1680000</v>
      </c>
      <c r="AZ48" s="23">
        <f t="shared" si="150"/>
        <v>1728000</v>
      </c>
      <c r="BA48" s="23">
        <f t="shared" si="150"/>
        <v>1728000</v>
      </c>
      <c r="BB48" s="23">
        <f t="shared" si="150"/>
        <v>1728000</v>
      </c>
      <c r="BC48" s="23">
        <f t="shared" si="150"/>
        <v>1812000</v>
      </c>
      <c r="BD48" s="23">
        <f t="shared" si="150"/>
        <v>1812000</v>
      </c>
      <c r="BE48" s="23">
        <f t="shared" si="150"/>
        <v>1812000</v>
      </c>
      <c r="BF48" s="23">
        <f t="shared" si="150"/>
        <v>1860000</v>
      </c>
      <c r="BG48" s="23">
        <f t="shared" si="150"/>
        <v>1860000</v>
      </c>
      <c r="BH48" s="23">
        <f t="shared" si="150"/>
        <v>1860000</v>
      </c>
      <c r="BI48" s="23">
        <f t="shared" si="150"/>
        <v>2808000</v>
      </c>
      <c r="BJ48" s="23">
        <f t="shared" si="150"/>
        <v>2808000</v>
      </c>
      <c r="BK48" s="23">
        <f t="shared" si="150"/>
        <v>2808000</v>
      </c>
      <c r="BL48" s="23">
        <f t="shared" si="150"/>
        <v>3000000</v>
      </c>
      <c r="BM48" s="23">
        <f t="shared" si="150"/>
        <v>3000000</v>
      </c>
      <c r="BN48" s="23">
        <f t="shared" si="150"/>
        <v>3000000</v>
      </c>
      <c r="BO48" s="23">
        <f t="shared" si="150"/>
        <v>3144000</v>
      </c>
      <c r="BP48" s="23">
        <f t="shared" si="150"/>
        <v>3144000</v>
      </c>
      <c r="BQ48" s="23">
        <f t="shared" si="150"/>
        <v>3144000</v>
      </c>
      <c r="BR48" s="23">
        <f t="shared" si="150"/>
        <v>3312000</v>
      </c>
      <c r="BS48" s="23">
        <f t="shared" si="150"/>
        <v>3312000</v>
      </c>
      <c r="BT48" s="23">
        <f t="shared" si="150"/>
        <v>3312000</v>
      </c>
      <c r="BU48" s="11"/>
    </row>
    <row r="49" spans="1:78" x14ac:dyDescent="0.3">
      <c r="A49" s="23" t="s">
        <v>27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33">
        <f t="shared" ref="M49:BT49" si="151">SUM(M47:M48)</f>
        <v>0</v>
      </c>
      <c r="N49" s="33">
        <f t="shared" si="151"/>
        <v>0</v>
      </c>
      <c r="O49" s="33">
        <f t="shared" si="151"/>
        <v>0</v>
      </c>
      <c r="P49" s="33">
        <f t="shared" si="151"/>
        <v>0</v>
      </c>
      <c r="Q49" s="33">
        <f t="shared" si="151"/>
        <v>0</v>
      </c>
      <c r="R49" s="33">
        <f t="shared" si="151"/>
        <v>0</v>
      </c>
      <c r="S49" s="33">
        <f t="shared" si="151"/>
        <v>0</v>
      </c>
      <c r="T49" s="33">
        <f t="shared" si="151"/>
        <v>0</v>
      </c>
      <c r="U49" s="33">
        <f t="shared" si="151"/>
        <v>0</v>
      </c>
      <c r="V49" s="33">
        <f t="shared" si="151"/>
        <v>0</v>
      </c>
      <c r="W49" s="33">
        <f t="shared" si="151"/>
        <v>0</v>
      </c>
      <c r="X49" s="33">
        <f t="shared" si="151"/>
        <v>0</v>
      </c>
      <c r="Y49" s="33">
        <f t="shared" si="151"/>
        <v>720000</v>
      </c>
      <c r="Z49" s="33">
        <f t="shared" si="151"/>
        <v>720000</v>
      </c>
      <c r="AA49" s="33">
        <f t="shared" si="151"/>
        <v>720000</v>
      </c>
      <c r="AB49" s="33">
        <f t="shared" si="151"/>
        <v>1008000</v>
      </c>
      <c r="AC49" s="33">
        <f t="shared" si="151"/>
        <v>1008000</v>
      </c>
      <c r="AD49" s="33">
        <f t="shared" si="151"/>
        <v>1008000</v>
      </c>
      <c r="AE49" s="33">
        <f t="shared" si="151"/>
        <v>2232000</v>
      </c>
      <c r="AF49" s="33">
        <f t="shared" si="151"/>
        <v>2232000</v>
      </c>
      <c r="AG49" s="33">
        <f t="shared" si="151"/>
        <v>2232000</v>
      </c>
      <c r="AH49" s="33">
        <f t="shared" si="151"/>
        <v>3240000</v>
      </c>
      <c r="AI49" s="33">
        <f t="shared" si="151"/>
        <v>3240000</v>
      </c>
      <c r="AJ49" s="33">
        <f t="shared" si="151"/>
        <v>3240000</v>
      </c>
      <c r="AK49" s="33">
        <f t="shared" si="151"/>
        <v>3672000</v>
      </c>
      <c r="AL49" s="33">
        <f t="shared" si="151"/>
        <v>3672000</v>
      </c>
      <c r="AM49" s="33">
        <f t="shared" si="151"/>
        <v>3672000</v>
      </c>
      <c r="AN49" s="33">
        <f t="shared" si="151"/>
        <v>4248000</v>
      </c>
      <c r="AO49" s="33">
        <f t="shared" si="151"/>
        <v>4248000</v>
      </c>
      <c r="AP49" s="33">
        <f t="shared" si="151"/>
        <v>4248000</v>
      </c>
      <c r="AQ49" s="33">
        <f t="shared" si="151"/>
        <v>8640000</v>
      </c>
      <c r="AR49" s="33">
        <f t="shared" si="151"/>
        <v>8640000</v>
      </c>
      <c r="AS49" s="33">
        <f t="shared" si="151"/>
        <v>8640000</v>
      </c>
      <c r="AT49" s="33">
        <f t="shared" si="151"/>
        <v>9432000</v>
      </c>
      <c r="AU49" s="33">
        <f t="shared" si="151"/>
        <v>9432000</v>
      </c>
      <c r="AV49" s="33">
        <f t="shared" si="151"/>
        <v>9432000</v>
      </c>
      <c r="AW49" s="33">
        <f t="shared" si="151"/>
        <v>10080000</v>
      </c>
      <c r="AX49" s="33">
        <f t="shared" si="151"/>
        <v>10080000</v>
      </c>
      <c r="AY49" s="33">
        <f t="shared" si="151"/>
        <v>10080000</v>
      </c>
      <c r="AZ49" s="33">
        <f t="shared" si="151"/>
        <v>10368000</v>
      </c>
      <c r="BA49" s="33">
        <f t="shared" si="151"/>
        <v>10368000</v>
      </c>
      <c r="BB49" s="33">
        <f t="shared" si="151"/>
        <v>10368000</v>
      </c>
      <c r="BC49" s="33">
        <f t="shared" si="151"/>
        <v>10872000</v>
      </c>
      <c r="BD49" s="33">
        <f t="shared" si="151"/>
        <v>10872000</v>
      </c>
      <c r="BE49" s="33">
        <f t="shared" si="151"/>
        <v>10872000</v>
      </c>
      <c r="BF49" s="33">
        <f t="shared" si="151"/>
        <v>11160000</v>
      </c>
      <c r="BG49" s="33">
        <f t="shared" si="151"/>
        <v>11160000</v>
      </c>
      <c r="BH49" s="33">
        <f t="shared" si="151"/>
        <v>11160000</v>
      </c>
      <c r="BI49" s="33">
        <f t="shared" si="151"/>
        <v>16848000</v>
      </c>
      <c r="BJ49" s="33">
        <f t="shared" si="151"/>
        <v>16848000</v>
      </c>
      <c r="BK49" s="33">
        <f t="shared" si="151"/>
        <v>16848000</v>
      </c>
      <c r="BL49" s="33">
        <f t="shared" si="151"/>
        <v>18000000</v>
      </c>
      <c r="BM49" s="33">
        <f t="shared" si="151"/>
        <v>18000000</v>
      </c>
      <c r="BN49" s="33">
        <f t="shared" si="151"/>
        <v>18000000</v>
      </c>
      <c r="BO49" s="33">
        <f t="shared" si="151"/>
        <v>18864000</v>
      </c>
      <c r="BP49" s="33">
        <f t="shared" si="151"/>
        <v>18864000</v>
      </c>
      <c r="BQ49" s="33">
        <f t="shared" si="151"/>
        <v>18864000</v>
      </c>
      <c r="BR49" s="33">
        <f t="shared" si="151"/>
        <v>19872000</v>
      </c>
      <c r="BS49" s="33">
        <f t="shared" si="151"/>
        <v>19872000</v>
      </c>
      <c r="BT49" s="33">
        <f t="shared" si="151"/>
        <v>19872000</v>
      </c>
      <c r="BU49" s="11"/>
    </row>
    <row r="50" spans="1:78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11"/>
    </row>
    <row r="51" spans="1:78" x14ac:dyDescent="0.3">
      <c r="A51" s="23" t="s">
        <v>28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>
        <f>M45+M49</f>
        <v>720000</v>
      </c>
      <c r="N51" s="23">
        <f>N45+N49</f>
        <v>720000</v>
      </c>
      <c r="O51" s="23">
        <f t="shared" ref="O51:BS51" si="152">O45+O49</f>
        <v>720000</v>
      </c>
      <c r="P51" s="23">
        <f t="shared" si="152"/>
        <v>1080000</v>
      </c>
      <c r="Q51" s="23">
        <f t="shared" si="152"/>
        <v>1080000</v>
      </c>
      <c r="R51" s="23">
        <f t="shared" si="152"/>
        <v>1080000</v>
      </c>
      <c r="S51" s="23">
        <f t="shared" si="152"/>
        <v>2340000</v>
      </c>
      <c r="T51" s="23">
        <f t="shared" si="152"/>
        <v>2340000</v>
      </c>
      <c r="U51" s="23">
        <f t="shared" si="152"/>
        <v>2340000</v>
      </c>
      <c r="V51" s="23">
        <f t="shared" si="152"/>
        <v>3420000</v>
      </c>
      <c r="W51" s="23">
        <f t="shared" si="152"/>
        <v>3420000</v>
      </c>
      <c r="X51" s="23">
        <f t="shared" si="152"/>
        <v>3420000</v>
      </c>
      <c r="Y51" s="23">
        <f t="shared" si="152"/>
        <v>4500000</v>
      </c>
      <c r="Z51" s="23">
        <f t="shared" si="152"/>
        <v>4500000</v>
      </c>
      <c r="AA51" s="23">
        <f t="shared" si="152"/>
        <v>4500000</v>
      </c>
      <c r="AB51" s="23">
        <f t="shared" si="152"/>
        <v>5508000</v>
      </c>
      <c r="AC51" s="23">
        <f t="shared" si="152"/>
        <v>5508000</v>
      </c>
      <c r="AD51" s="269">
        <f t="shared" si="152"/>
        <v>5508000</v>
      </c>
      <c r="AE51" s="23">
        <f t="shared" si="152"/>
        <v>11232000</v>
      </c>
      <c r="AF51" s="23">
        <f t="shared" si="152"/>
        <v>11232000</v>
      </c>
      <c r="AG51" s="23">
        <f t="shared" si="152"/>
        <v>11232000</v>
      </c>
      <c r="AH51" s="23">
        <f t="shared" si="152"/>
        <v>13140000</v>
      </c>
      <c r="AI51" s="23">
        <f t="shared" si="152"/>
        <v>13140000</v>
      </c>
      <c r="AJ51" s="23">
        <f t="shared" si="152"/>
        <v>13140000</v>
      </c>
      <c r="AK51" s="23">
        <f t="shared" si="152"/>
        <v>14112000</v>
      </c>
      <c r="AL51" s="23">
        <f t="shared" si="152"/>
        <v>14112000</v>
      </c>
      <c r="AM51" s="23">
        <f t="shared" si="152"/>
        <v>14112000</v>
      </c>
      <c r="AN51" s="23">
        <f t="shared" si="152"/>
        <v>15048000</v>
      </c>
      <c r="AO51" s="23">
        <f t="shared" si="152"/>
        <v>15048000</v>
      </c>
      <c r="AP51" s="23">
        <f t="shared" si="152"/>
        <v>15048000</v>
      </c>
      <c r="AQ51" s="23">
        <f t="shared" si="152"/>
        <v>19980000</v>
      </c>
      <c r="AR51" s="23">
        <f t="shared" si="152"/>
        <v>19980000</v>
      </c>
      <c r="AS51" s="23">
        <f t="shared" si="152"/>
        <v>19980000</v>
      </c>
      <c r="AT51" s="23">
        <f t="shared" si="152"/>
        <v>21132000</v>
      </c>
      <c r="AU51" s="23">
        <f t="shared" si="152"/>
        <v>21132000</v>
      </c>
      <c r="AV51" s="23">
        <f t="shared" si="152"/>
        <v>21132000</v>
      </c>
      <c r="AW51" s="23">
        <f t="shared" si="152"/>
        <v>26880000</v>
      </c>
      <c r="AX51" s="23">
        <f t="shared" si="152"/>
        <v>26880000</v>
      </c>
      <c r="AY51" s="23">
        <f t="shared" si="152"/>
        <v>26880000</v>
      </c>
      <c r="AZ51" s="23">
        <f t="shared" si="152"/>
        <v>28128000</v>
      </c>
      <c r="BA51" s="23">
        <f t="shared" si="152"/>
        <v>28128000</v>
      </c>
      <c r="BB51" s="23">
        <f t="shared" si="152"/>
        <v>28128000</v>
      </c>
      <c r="BC51" s="23">
        <f t="shared" si="152"/>
        <v>29472000</v>
      </c>
      <c r="BD51" s="23">
        <f t="shared" si="152"/>
        <v>29472000</v>
      </c>
      <c r="BE51" s="23">
        <f t="shared" si="152"/>
        <v>29472000</v>
      </c>
      <c r="BF51" s="23">
        <f t="shared" si="152"/>
        <v>30720000</v>
      </c>
      <c r="BG51" s="23">
        <f t="shared" si="152"/>
        <v>30720000</v>
      </c>
      <c r="BH51" s="23">
        <f t="shared" si="152"/>
        <v>30720000</v>
      </c>
      <c r="BI51" s="23">
        <f t="shared" si="152"/>
        <v>40008000</v>
      </c>
      <c r="BJ51" s="23">
        <f t="shared" si="152"/>
        <v>40008000</v>
      </c>
      <c r="BK51" s="23">
        <f t="shared" si="152"/>
        <v>40008000</v>
      </c>
      <c r="BL51" s="23">
        <f t="shared" si="152"/>
        <v>41700000</v>
      </c>
      <c r="BM51" s="23">
        <f t="shared" si="152"/>
        <v>41700000</v>
      </c>
      <c r="BN51" s="23">
        <f t="shared" si="152"/>
        <v>41700000</v>
      </c>
      <c r="BO51" s="23">
        <f t="shared" si="152"/>
        <v>43224000</v>
      </c>
      <c r="BP51" s="23">
        <f t="shared" si="152"/>
        <v>43224000</v>
      </c>
      <c r="BQ51" s="23">
        <f t="shared" si="152"/>
        <v>43224000</v>
      </c>
      <c r="BR51" s="23">
        <f t="shared" si="152"/>
        <v>44772000</v>
      </c>
      <c r="BS51" s="23">
        <f t="shared" si="152"/>
        <v>44772000</v>
      </c>
      <c r="BT51" s="23">
        <f>BT45+BT49</f>
        <v>44772000</v>
      </c>
      <c r="BU51" s="11"/>
    </row>
    <row r="52" spans="1:78" ht="16.2" thickBot="1" x14ac:dyDescent="0.35">
      <c r="A52" s="22" t="s">
        <v>292</v>
      </c>
      <c r="M52" s="265">
        <f t="shared" ref="M52:AR52" si="153">M20+M37</f>
        <v>60000</v>
      </c>
      <c r="N52" s="265">
        <f t="shared" si="153"/>
        <v>120000</v>
      </c>
      <c r="O52" s="265">
        <f t="shared" si="153"/>
        <v>180000</v>
      </c>
      <c r="P52" s="265">
        <f t="shared" si="153"/>
        <v>270000</v>
      </c>
      <c r="Q52" s="265">
        <f t="shared" si="153"/>
        <v>360000</v>
      </c>
      <c r="R52" s="265">
        <f t="shared" si="153"/>
        <v>450000</v>
      </c>
      <c r="S52" s="265">
        <f t="shared" si="153"/>
        <v>645000</v>
      </c>
      <c r="T52" s="265">
        <f t="shared" si="153"/>
        <v>840000</v>
      </c>
      <c r="U52" s="265">
        <f t="shared" si="153"/>
        <v>1035000</v>
      </c>
      <c r="V52" s="265">
        <f t="shared" si="153"/>
        <v>1320000</v>
      </c>
      <c r="W52" s="265">
        <f t="shared" si="153"/>
        <v>1605000</v>
      </c>
      <c r="X52" s="265">
        <f t="shared" si="153"/>
        <v>1890000</v>
      </c>
      <c r="Y52" s="265">
        <f t="shared" si="153"/>
        <v>2205000</v>
      </c>
      <c r="Z52" s="265">
        <f t="shared" si="153"/>
        <v>2520000</v>
      </c>
      <c r="AA52" s="265">
        <f t="shared" si="153"/>
        <v>2835000</v>
      </c>
      <c r="AB52" s="265">
        <f t="shared" si="153"/>
        <v>3204000</v>
      </c>
      <c r="AC52" s="265">
        <f t="shared" si="153"/>
        <v>3573000</v>
      </c>
      <c r="AD52" s="267">
        <f>AD20+AD37</f>
        <v>3942000</v>
      </c>
      <c r="AE52" s="265">
        <f t="shared" si="153"/>
        <v>4683000</v>
      </c>
      <c r="AF52" s="265">
        <f t="shared" si="153"/>
        <v>5424000</v>
      </c>
      <c r="AG52" s="265">
        <f t="shared" si="153"/>
        <v>6165000</v>
      </c>
      <c r="AH52" s="265">
        <f t="shared" si="153"/>
        <v>6975000</v>
      </c>
      <c r="AI52" s="265">
        <f t="shared" si="153"/>
        <v>7785000</v>
      </c>
      <c r="AJ52" s="265">
        <f t="shared" si="153"/>
        <v>8595000</v>
      </c>
      <c r="AK52" s="265">
        <f t="shared" si="153"/>
        <v>9396000</v>
      </c>
      <c r="AL52" s="265">
        <f t="shared" si="153"/>
        <v>10197000</v>
      </c>
      <c r="AM52" s="265">
        <f t="shared" si="153"/>
        <v>10998000</v>
      </c>
      <c r="AN52" s="265">
        <f t="shared" si="153"/>
        <v>11793000</v>
      </c>
      <c r="AO52" s="265">
        <f t="shared" si="153"/>
        <v>12588000</v>
      </c>
      <c r="AP52" s="265">
        <f t="shared" si="153"/>
        <v>13383000</v>
      </c>
      <c r="AQ52" s="265">
        <f t="shared" si="153"/>
        <v>14112000</v>
      </c>
      <c r="AR52" s="265">
        <f t="shared" si="153"/>
        <v>14841000</v>
      </c>
      <c r="AS52" s="265">
        <f t="shared" ref="AS52:BT52" si="154">AS20+AS37</f>
        <v>15570000</v>
      </c>
      <c r="AT52" s="265">
        <f t="shared" si="154"/>
        <v>16236000</v>
      </c>
      <c r="AU52" s="265">
        <f t="shared" si="154"/>
        <v>16902000</v>
      </c>
      <c r="AV52" s="265">
        <f t="shared" si="154"/>
        <v>17568000</v>
      </c>
      <c r="AW52" s="265">
        <f t="shared" si="154"/>
        <v>18632000</v>
      </c>
      <c r="AX52" s="265">
        <f t="shared" si="154"/>
        <v>19696000</v>
      </c>
      <c r="AY52" s="265">
        <f t="shared" si="154"/>
        <v>20760000</v>
      </c>
      <c r="AZ52" s="265">
        <f t="shared" si="154"/>
        <v>21850000</v>
      </c>
      <c r="BA52" s="265">
        <f t="shared" si="154"/>
        <v>22940000</v>
      </c>
      <c r="BB52" s="265">
        <f t="shared" si="154"/>
        <v>24030000</v>
      </c>
      <c r="BC52" s="265">
        <f t="shared" si="154"/>
        <v>24821000</v>
      </c>
      <c r="BD52" s="265">
        <f t="shared" si="154"/>
        <v>25612000</v>
      </c>
      <c r="BE52" s="265">
        <f t="shared" si="154"/>
        <v>26403000</v>
      </c>
      <c r="BF52" s="265">
        <f t="shared" si="154"/>
        <v>27202000</v>
      </c>
      <c r="BG52" s="265">
        <f t="shared" si="154"/>
        <v>28001000</v>
      </c>
      <c r="BH52" s="265">
        <f t="shared" si="154"/>
        <v>28800000</v>
      </c>
      <c r="BI52" s="265">
        <f t="shared" si="154"/>
        <v>29894000</v>
      </c>
      <c r="BJ52" s="265">
        <f t="shared" si="154"/>
        <v>30988000</v>
      </c>
      <c r="BK52" s="265">
        <f t="shared" si="154"/>
        <v>32082000</v>
      </c>
      <c r="BL52" s="265">
        <f t="shared" si="154"/>
        <v>33213000</v>
      </c>
      <c r="BM52" s="265">
        <f t="shared" si="154"/>
        <v>34344000</v>
      </c>
      <c r="BN52" s="265">
        <f t="shared" si="154"/>
        <v>35475000</v>
      </c>
      <c r="BO52" s="265">
        <f t="shared" si="154"/>
        <v>36621000</v>
      </c>
      <c r="BP52" s="265">
        <f t="shared" si="154"/>
        <v>37767000</v>
      </c>
      <c r="BQ52" s="265">
        <f t="shared" si="154"/>
        <v>38913000</v>
      </c>
      <c r="BR52" s="265">
        <f t="shared" si="154"/>
        <v>40084000</v>
      </c>
      <c r="BS52" s="265">
        <f t="shared" si="154"/>
        <v>41255000</v>
      </c>
      <c r="BT52" s="265">
        <f t="shared" si="154"/>
        <v>42426000</v>
      </c>
      <c r="BU52" s="11"/>
      <c r="BV52" s="265">
        <f>SUMIF($M$3:$BT$3,BV$3,$M52:$BT52)</f>
        <v>8775000</v>
      </c>
      <c r="BW52" s="265">
        <f t="shared" si="85"/>
        <v>57906000</v>
      </c>
      <c r="BX52" s="265">
        <f t="shared" si="85"/>
        <v>163584000</v>
      </c>
      <c r="BY52" s="265">
        <f t="shared" si="85"/>
        <v>288747000</v>
      </c>
      <c r="BZ52" s="265">
        <f t="shared" si="85"/>
        <v>433062000</v>
      </c>
    </row>
    <row r="53" spans="1:78" ht="16.8" thickTop="1" thickBot="1" x14ac:dyDescent="0.35">
      <c r="A53" s="22" t="s">
        <v>293</v>
      </c>
      <c r="M53" s="264">
        <f>M52*12</f>
        <v>720000</v>
      </c>
      <c r="N53" s="264">
        <f t="shared" ref="N53:BT53" si="155">N52*12</f>
        <v>1440000</v>
      </c>
      <c r="O53" s="264">
        <f t="shared" si="155"/>
        <v>2160000</v>
      </c>
      <c r="P53" s="264">
        <f t="shared" si="155"/>
        <v>3240000</v>
      </c>
      <c r="Q53" s="264">
        <f t="shared" si="155"/>
        <v>4320000</v>
      </c>
      <c r="R53" s="264">
        <f t="shared" si="155"/>
        <v>5400000</v>
      </c>
      <c r="S53" s="264">
        <f t="shared" si="155"/>
        <v>7740000</v>
      </c>
      <c r="T53" s="264">
        <f t="shared" si="155"/>
        <v>10080000</v>
      </c>
      <c r="U53" s="264">
        <f t="shared" si="155"/>
        <v>12420000</v>
      </c>
      <c r="V53" s="264">
        <f t="shared" si="155"/>
        <v>15840000</v>
      </c>
      <c r="W53" s="264">
        <f t="shared" si="155"/>
        <v>19260000</v>
      </c>
      <c r="X53" s="264">
        <f t="shared" si="155"/>
        <v>22680000</v>
      </c>
      <c r="Y53" s="264">
        <f t="shared" si="155"/>
        <v>26460000</v>
      </c>
      <c r="Z53" s="264">
        <f t="shared" si="155"/>
        <v>30240000</v>
      </c>
      <c r="AA53" s="264">
        <f t="shared" si="155"/>
        <v>34020000</v>
      </c>
      <c r="AB53" s="264">
        <f t="shared" si="155"/>
        <v>38448000</v>
      </c>
      <c r="AC53" s="264">
        <f t="shared" si="155"/>
        <v>42876000</v>
      </c>
      <c r="AD53" s="266">
        <f>AD52*12</f>
        <v>47304000</v>
      </c>
      <c r="AE53" s="264">
        <f t="shared" si="155"/>
        <v>56196000</v>
      </c>
      <c r="AF53" s="264">
        <f t="shared" si="155"/>
        <v>65088000</v>
      </c>
      <c r="AG53" s="264">
        <f t="shared" si="155"/>
        <v>73980000</v>
      </c>
      <c r="AH53" s="264">
        <f t="shared" si="155"/>
        <v>83700000</v>
      </c>
      <c r="AI53" s="264">
        <f t="shared" si="155"/>
        <v>93420000</v>
      </c>
      <c r="AJ53" s="264">
        <f t="shared" si="155"/>
        <v>103140000</v>
      </c>
      <c r="AK53" s="264">
        <f t="shared" si="155"/>
        <v>112752000</v>
      </c>
      <c r="AL53" s="264">
        <f t="shared" si="155"/>
        <v>122364000</v>
      </c>
      <c r="AM53" s="264">
        <f t="shared" si="155"/>
        <v>131976000</v>
      </c>
      <c r="AN53" s="264">
        <f t="shared" si="155"/>
        <v>141516000</v>
      </c>
      <c r="AO53" s="264">
        <f t="shared" si="155"/>
        <v>151056000</v>
      </c>
      <c r="AP53" s="264">
        <f t="shared" si="155"/>
        <v>160596000</v>
      </c>
      <c r="AQ53" s="264">
        <f t="shared" si="155"/>
        <v>169344000</v>
      </c>
      <c r="AR53" s="264">
        <f t="shared" si="155"/>
        <v>178092000</v>
      </c>
      <c r="AS53" s="264">
        <f t="shared" si="155"/>
        <v>186840000</v>
      </c>
      <c r="AT53" s="264">
        <f t="shared" si="155"/>
        <v>194832000</v>
      </c>
      <c r="AU53" s="264">
        <f t="shared" si="155"/>
        <v>202824000</v>
      </c>
      <c r="AV53" s="264">
        <f t="shared" si="155"/>
        <v>210816000</v>
      </c>
      <c r="AW53" s="264">
        <f t="shared" si="155"/>
        <v>223584000</v>
      </c>
      <c r="AX53" s="264">
        <f t="shared" si="155"/>
        <v>236352000</v>
      </c>
      <c r="AY53" s="264">
        <f t="shared" si="155"/>
        <v>249120000</v>
      </c>
      <c r="AZ53" s="264">
        <f t="shared" si="155"/>
        <v>262200000</v>
      </c>
      <c r="BA53" s="264">
        <f t="shared" si="155"/>
        <v>275280000</v>
      </c>
      <c r="BB53" s="264">
        <f t="shared" si="155"/>
        <v>288360000</v>
      </c>
      <c r="BC53" s="264">
        <f t="shared" si="155"/>
        <v>297852000</v>
      </c>
      <c r="BD53" s="264">
        <f t="shared" si="155"/>
        <v>307344000</v>
      </c>
      <c r="BE53" s="264">
        <f t="shared" si="155"/>
        <v>316836000</v>
      </c>
      <c r="BF53" s="264">
        <f t="shared" si="155"/>
        <v>326424000</v>
      </c>
      <c r="BG53" s="264">
        <f t="shared" si="155"/>
        <v>336012000</v>
      </c>
      <c r="BH53" s="264">
        <f t="shared" si="155"/>
        <v>345600000</v>
      </c>
      <c r="BI53" s="264">
        <f t="shared" si="155"/>
        <v>358728000</v>
      </c>
      <c r="BJ53" s="264">
        <f t="shared" si="155"/>
        <v>371856000</v>
      </c>
      <c r="BK53" s="264">
        <f t="shared" si="155"/>
        <v>384984000</v>
      </c>
      <c r="BL53" s="264">
        <f t="shared" si="155"/>
        <v>398556000</v>
      </c>
      <c r="BM53" s="264">
        <f t="shared" si="155"/>
        <v>412128000</v>
      </c>
      <c r="BN53" s="264">
        <f t="shared" si="155"/>
        <v>425700000</v>
      </c>
      <c r="BO53" s="264">
        <f t="shared" si="155"/>
        <v>439452000</v>
      </c>
      <c r="BP53" s="264">
        <f t="shared" si="155"/>
        <v>453204000</v>
      </c>
      <c r="BQ53" s="264">
        <f t="shared" si="155"/>
        <v>466956000</v>
      </c>
      <c r="BR53" s="264">
        <f t="shared" si="155"/>
        <v>481008000</v>
      </c>
      <c r="BS53" s="264">
        <f t="shared" si="155"/>
        <v>495060000</v>
      </c>
      <c r="BT53" s="264">
        <f t="shared" si="155"/>
        <v>509112000</v>
      </c>
      <c r="BU53" s="11"/>
      <c r="BV53" s="264"/>
      <c r="BW53" s="264"/>
      <c r="BX53" s="264"/>
      <c r="BY53" s="264"/>
      <c r="BZ53" s="264"/>
    </row>
    <row r="54" spans="1:78" ht="16.2" thickTop="1" x14ac:dyDescent="0.3"/>
  </sheetData>
  <mergeCells count="2">
    <mergeCell ref="M2:BT2"/>
    <mergeCell ref="BV2:BZ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78B5-F9C4-C041-9367-F5DAC4BF2A5B}">
  <dimension ref="A1:BZ83"/>
  <sheetViews>
    <sheetView showGridLines="0" workbookViewId="0">
      <pane xSplit="12" ySplit="4" topLeftCell="BR10" activePane="bottomRight" state="frozen"/>
      <selection pane="topRight" activeCell="M1" sqref="M1"/>
      <selection pane="bottomLeft" activeCell="A5" sqref="A5"/>
      <selection pane="bottomRight" activeCell="BU17" sqref="BU17"/>
    </sheetView>
  </sheetViews>
  <sheetFormatPr defaultColWidth="11.19921875" defaultRowHeight="15.6" x14ac:dyDescent="0.3"/>
  <cols>
    <col min="13" max="13" width="13" bestFit="1" customWidth="1"/>
    <col min="14" max="27" width="12.796875" bestFit="1" customWidth="1"/>
    <col min="28" max="37" width="13" bestFit="1" customWidth="1"/>
    <col min="38" max="48" width="13.296875" bestFit="1" customWidth="1"/>
    <col min="49" max="72" width="13.796875" bestFit="1" customWidth="1"/>
    <col min="73" max="73" width="6.5" customWidth="1"/>
    <col min="74" max="74" width="13" bestFit="1" customWidth="1"/>
    <col min="75" max="75" width="14.5" bestFit="1" customWidth="1"/>
    <col min="76" max="77" width="14.69921875" bestFit="1" customWidth="1"/>
    <col min="78" max="78" width="14.796875" bestFit="1" customWidth="1"/>
  </cols>
  <sheetData>
    <row r="1" spans="1:78" ht="21" x14ac:dyDescent="0.4">
      <c r="A1" s="1" t="s">
        <v>66</v>
      </c>
      <c r="B1" s="1"/>
      <c r="C1" s="2"/>
      <c r="D1" s="3"/>
      <c r="E1" s="3"/>
      <c r="F1" s="3"/>
      <c r="G1" s="3"/>
      <c r="H1" s="3"/>
      <c r="I1" s="3"/>
      <c r="J1" s="4"/>
      <c r="K1" s="3"/>
      <c r="L1" s="3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16.2" thickBot="1" x14ac:dyDescent="0.35">
      <c r="A2" s="7" t="s">
        <v>0</v>
      </c>
      <c r="B2" s="7"/>
      <c r="C2" s="2"/>
      <c r="D2" s="3"/>
      <c r="E2" s="3"/>
      <c r="F2" s="3"/>
      <c r="G2" s="3"/>
      <c r="H2" s="3"/>
      <c r="I2" s="3"/>
      <c r="J2" s="4"/>
      <c r="K2" s="3"/>
      <c r="L2" s="3"/>
      <c r="M2" s="270" t="s">
        <v>1</v>
      </c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3"/>
      <c r="BV2" s="270" t="s">
        <v>2</v>
      </c>
      <c r="BW2" s="270"/>
      <c r="BX2" s="270"/>
      <c r="BY2" s="270"/>
      <c r="BZ2" s="270"/>
    </row>
    <row r="3" spans="1:78" x14ac:dyDescent="0.3">
      <c r="A3" s="8" t="s">
        <v>3</v>
      </c>
      <c r="B3" s="9"/>
      <c r="C3" s="9"/>
      <c r="D3" s="10"/>
      <c r="E3" s="10"/>
      <c r="F3" s="10"/>
      <c r="G3" s="10"/>
      <c r="H3" s="10"/>
      <c r="I3" s="10"/>
      <c r="J3" s="3"/>
      <c r="K3" s="3"/>
      <c r="L3" s="3"/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f>X3+1</f>
        <v>2</v>
      </c>
      <c r="Z3" s="19">
        <f>Y3</f>
        <v>2</v>
      </c>
      <c r="AA3" s="19">
        <f t="shared" ref="AA3:AJ3" si="0">Z3</f>
        <v>2</v>
      </c>
      <c r="AB3" s="19">
        <f t="shared" si="0"/>
        <v>2</v>
      </c>
      <c r="AC3" s="19">
        <f t="shared" si="0"/>
        <v>2</v>
      </c>
      <c r="AD3" s="19">
        <f t="shared" si="0"/>
        <v>2</v>
      </c>
      <c r="AE3" s="19">
        <f t="shared" si="0"/>
        <v>2</v>
      </c>
      <c r="AF3" s="19">
        <f t="shared" si="0"/>
        <v>2</v>
      </c>
      <c r="AG3" s="19">
        <f t="shared" si="0"/>
        <v>2</v>
      </c>
      <c r="AH3" s="19">
        <f t="shared" si="0"/>
        <v>2</v>
      </c>
      <c r="AI3" s="19">
        <f t="shared" si="0"/>
        <v>2</v>
      </c>
      <c r="AJ3" s="19">
        <f t="shared" si="0"/>
        <v>2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4</v>
      </c>
      <c r="AX3" s="19">
        <v>4</v>
      </c>
      <c r="AY3" s="19">
        <v>4</v>
      </c>
      <c r="AZ3" s="19">
        <v>4</v>
      </c>
      <c r="BA3" s="19">
        <v>4</v>
      </c>
      <c r="BB3" s="19">
        <v>4</v>
      </c>
      <c r="BC3" s="19">
        <v>4</v>
      </c>
      <c r="BD3" s="19">
        <v>4</v>
      </c>
      <c r="BE3" s="19">
        <v>4</v>
      </c>
      <c r="BF3" s="19">
        <v>4</v>
      </c>
      <c r="BG3" s="19">
        <v>4</v>
      </c>
      <c r="BH3" s="19">
        <v>4</v>
      </c>
      <c r="BI3" s="19">
        <v>5</v>
      </c>
      <c r="BJ3" s="19">
        <v>5</v>
      </c>
      <c r="BK3" s="19">
        <v>5</v>
      </c>
      <c r="BL3" s="19">
        <v>5</v>
      </c>
      <c r="BM3" s="19">
        <v>5</v>
      </c>
      <c r="BN3" s="19">
        <v>5</v>
      </c>
      <c r="BO3" s="19">
        <v>5</v>
      </c>
      <c r="BP3" s="19">
        <v>5</v>
      </c>
      <c r="BQ3" s="19">
        <v>5</v>
      </c>
      <c r="BR3" s="19">
        <v>5</v>
      </c>
      <c r="BS3" s="19">
        <v>5</v>
      </c>
      <c r="BT3" s="19">
        <v>5</v>
      </c>
      <c r="BU3" s="11"/>
      <c r="BV3" s="21">
        <v>1</v>
      </c>
      <c r="BW3" s="21">
        <v>2</v>
      </c>
      <c r="BX3" s="21">
        <v>3</v>
      </c>
      <c r="BY3" s="21">
        <v>4</v>
      </c>
      <c r="BZ3" s="21">
        <v>5</v>
      </c>
    </row>
    <row r="4" spans="1:78" x14ac:dyDescent="0.3">
      <c r="A4" s="12" t="s">
        <v>4</v>
      </c>
      <c r="B4" s="13"/>
      <c r="C4" s="9"/>
      <c r="D4" s="10"/>
      <c r="E4" s="3"/>
      <c r="F4" s="3"/>
      <c r="G4" s="3"/>
      <c r="H4" s="3"/>
      <c r="I4" s="3"/>
      <c r="J4" s="3"/>
      <c r="K4" s="3"/>
      <c r="L4" s="3"/>
      <c r="M4" s="20">
        <v>1</v>
      </c>
      <c r="N4" s="20">
        <f>M4+1</f>
        <v>2</v>
      </c>
      <c r="O4" s="20">
        <f t="shared" ref="O4:BT4" si="1">N4+1</f>
        <v>3</v>
      </c>
      <c r="P4" s="20">
        <f t="shared" si="1"/>
        <v>4</v>
      </c>
      <c r="Q4" s="20">
        <f t="shared" si="1"/>
        <v>5</v>
      </c>
      <c r="R4" s="20">
        <f t="shared" si="1"/>
        <v>6</v>
      </c>
      <c r="S4" s="20">
        <f t="shared" si="1"/>
        <v>7</v>
      </c>
      <c r="T4" s="20">
        <f t="shared" si="1"/>
        <v>8</v>
      </c>
      <c r="U4" s="20">
        <f t="shared" si="1"/>
        <v>9</v>
      </c>
      <c r="V4" s="20">
        <f t="shared" si="1"/>
        <v>10</v>
      </c>
      <c r="W4" s="20">
        <f t="shared" si="1"/>
        <v>11</v>
      </c>
      <c r="X4" s="20">
        <f t="shared" si="1"/>
        <v>12</v>
      </c>
      <c r="Y4" s="20">
        <f t="shared" si="1"/>
        <v>13</v>
      </c>
      <c r="Z4" s="20">
        <f t="shared" si="1"/>
        <v>14</v>
      </c>
      <c r="AA4" s="20">
        <f t="shared" si="1"/>
        <v>15</v>
      </c>
      <c r="AB4" s="20">
        <f t="shared" si="1"/>
        <v>16</v>
      </c>
      <c r="AC4" s="20">
        <f t="shared" si="1"/>
        <v>17</v>
      </c>
      <c r="AD4" s="20">
        <f t="shared" si="1"/>
        <v>18</v>
      </c>
      <c r="AE4" s="20">
        <f t="shared" si="1"/>
        <v>19</v>
      </c>
      <c r="AF4" s="20">
        <f t="shared" si="1"/>
        <v>20</v>
      </c>
      <c r="AG4" s="20">
        <f t="shared" si="1"/>
        <v>21</v>
      </c>
      <c r="AH4" s="20">
        <f t="shared" si="1"/>
        <v>22</v>
      </c>
      <c r="AI4" s="20">
        <f t="shared" si="1"/>
        <v>23</v>
      </c>
      <c r="AJ4" s="20">
        <f t="shared" si="1"/>
        <v>24</v>
      </c>
      <c r="AK4" s="20">
        <f t="shared" si="1"/>
        <v>25</v>
      </c>
      <c r="AL4" s="20">
        <f t="shared" si="1"/>
        <v>26</v>
      </c>
      <c r="AM4" s="20">
        <f t="shared" si="1"/>
        <v>27</v>
      </c>
      <c r="AN4" s="20">
        <f t="shared" si="1"/>
        <v>28</v>
      </c>
      <c r="AO4" s="20">
        <f t="shared" si="1"/>
        <v>29</v>
      </c>
      <c r="AP4" s="20">
        <f t="shared" si="1"/>
        <v>30</v>
      </c>
      <c r="AQ4" s="20">
        <f t="shared" si="1"/>
        <v>31</v>
      </c>
      <c r="AR4" s="20">
        <f t="shared" si="1"/>
        <v>32</v>
      </c>
      <c r="AS4" s="20">
        <f t="shared" si="1"/>
        <v>33</v>
      </c>
      <c r="AT4" s="20">
        <f t="shared" si="1"/>
        <v>34</v>
      </c>
      <c r="AU4" s="20">
        <f t="shared" si="1"/>
        <v>35</v>
      </c>
      <c r="AV4" s="20">
        <f t="shared" si="1"/>
        <v>36</v>
      </c>
      <c r="AW4" s="20">
        <f t="shared" si="1"/>
        <v>37</v>
      </c>
      <c r="AX4" s="20">
        <f t="shared" si="1"/>
        <v>38</v>
      </c>
      <c r="AY4" s="20">
        <f t="shared" si="1"/>
        <v>39</v>
      </c>
      <c r="AZ4" s="20">
        <f t="shared" si="1"/>
        <v>40</v>
      </c>
      <c r="BA4" s="20">
        <f t="shared" si="1"/>
        <v>41</v>
      </c>
      <c r="BB4" s="20">
        <f t="shared" si="1"/>
        <v>42</v>
      </c>
      <c r="BC4" s="20">
        <f t="shared" si="1"/>
        <v>43</v>
      </c>
      <c r="BD4" s="20">
        <f t="shared" si="1"/>
        <v>44</v>
      </c>
      <c r="BE4" s="20">
        <f t="shared" si="1"/>
        <v>45</v>
      </c>
      <c r="BF4" s="20">
        <f t="shared" si="1"/>
        <v>46</v>
      </c>
      <c r="BG4" s="20">
        <f t="shared" si="1"/>
        <v>47</v>
      </c>
      <c r="BH4" s="20">
        <f t="shared" si="1"/>
        <v>48</v>
      </c>
      <c r="BI4" s="20">
        <f t="shared" si="1"/>
        <v>49</v>
      </c>
      <c r="BJ4" s="20">
        <f t="shared" si="1"/>
        <v>50</v>
      </c>
      <c r="BK4" s="20">
        <f t="shared" si="1"/>
        <v>51</v>
      </c>
      <c r="BL4" s="20">
        <f t="shared" si="1"/>
        <v>52</v>
      </c>
      <c r="BM4" s="20">
        <f t="shared" si="1"/>
        <v>53</v>
      </c>
      <c r="BN4" s="20">
        <f t="shared" si="1"/>
        <v>54</v>
      </c>
      <c r="BO4" s="20">
        <f t="shared" si="1"/>
        <v>55</v>
      </c>
      <c r="BP4" s="20">
        <f t="shared" si="1"/>
        <v>56</v>
      </c>
      <c r="BQ4" s="20">
        <f t="shared" si="1"/>
        <v>57</v>
      </c>
      <c r="BR4" s="20">
        <f t="shared" si="1"/>
        <v>58</v>
      </c>
      <c r="BS4" s="20">
        <f t="shared" si="1"/>
        <v>59</v>
      </c>
      <c r="BT4" s="20">
        <f t="shared" si="1"/>
        <v>60</v>
      </c>
      <c r="BU4" s="11"/>
      <c r="BV4" s="20">
        <v>12</v>
      </c>
      <c r="BW4" s="20">
        <v>24</v>
      </c>
      <c r="BX4" s="20">
        <v>36</v>
      </c>
      <c r="BY4" s="20">
        <v>48</v>
      </c>
      <c r="BZ4" s="20">
        <v>60</v>
      </c>
    </row>
    <row r="5" spans="1:78" x14ac:dyDescent="0.3">
      <c r="A5" s="48" t="str">
        <f>Assumptions!A15</f>
        <v>Direct Cost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</row>
    <row r="6" spans="1:78" x14ac:dyDescent="0.3">
      <c r="A6" s="29" t="str">
        <f>Assumptions!A16</f>
        <v>Hosting &amp; Infrastructure Costs</v>
      </c>
      <c r="M6" s="75">
        <f>SUM(M7:M9)</f>
        <v>62580</v>
      </c>
      <c r="N6" s="75">
        <f t="shared" ref="N6:BT6" si="2">SUM(N7:N9)</f>
        <v>71907.457627118652</v>
      </c>
      <c r="O6" s="75">
        <f t="shared" si="2"/>
        <v>81234.915254237305</v>
      </c>
      <c r="P6" s="75">
        <f t="shared" si="2"/>
        <v>90562.372881355943</v>
      </c>
      <c r="Q6" s="75">
        <f t="shared" si="2"/>
        <v>99889.830508474581</v>
      </c>
      <c r="R6" s="75">
        <f t="shared" si="2"/>
        <v>109217.28813559323</v>
      </c>
      <c r="S6" s="75">
        <f t="shared" si="2"/>
        <v>118544.74576271187</v>
      </c>
      <c r="T6" s="75">
        <f t="shared" si="2"/>
        <v>127872.20338983052</v>
      </c>
      <c r="U6" s="75">
        <f t="shared" si="2"/>
        <v>137199.66101694916</v>
      </c>
      <c r="V6" s="75">
        <f t="shared" si="2"/>
        <v>146527.11864406781</v>
      </c>
      <c r="W6" s="75">
        <f t="shared" si="2"/>
        <v>155854.57627118647</v>
      </c>
      <c r="X6" s="75">
        <f t="shared" si="2"/>
        <v>165182.03389830512</v>
      </c>
      <c r="Y6" s="75">
        <f t="shared" si="2"/>
        <v>174509.49152542374</v>
      </c>
      <c r="Z6" s="75">
        <f t="shared" si="2"/>
        <v>183836.94915254237</v>
      </c>
      <c r="AA6" s="75">
        <f t="shared" si="2"/>
        <v>193164.40677966099</v>
      </c>
      <c r="AB6" s="75">
        <f t="shared" si="2"/>
        <v>202491.86440677961</v>
      </c>
      <c r="AC6" s="75">
        <f t="shared" si="2"/>
        <v>211819.32203389826</v>
      </c>
      <c r="AD6" s="75">
        <f t="shared" si="2"/>
        <v>221146.77966101689</v>
      </c>
      <c r="AE6" s="75">
        <f t="shared" si="2"/>
        <v>230474.23728813554</v>
      </c>
      <c r="AF6" s="75">
        <f t="shared" si="2"/>
        <v>239801.69491525416</v>
      </c>
      <c r="AG6" s="75">
        <f t="shared" si="2"/>
        <v>249129.15254237282</v>
      </c>
      <c r="AH6" s="75">
        <f t="shared" si="2"/>
        <v>258456.61016949144</v>
      </c>
      <c r="AI6" s="75">
        <f t="shared" si="2"/>
        <v>267784.06779661006</v>
      </c>
      <c r="AJ6" s="75">
        <f t="shared" si="2"/>
        <v>277111.52542372869</v>
      </c>
      <c r="AK6" s="75">
        <f t="shared" si="2"/>
        <v>286438.98305084737</v>
      </c>
      <c r="AL6" s="75">
        <f t="shared" si="2"/>
        <v>295766.44067796599</v>
      </c>
      <c r="AM6" s="75">
        <f t="shared" si="2"/>
        <v>305093.89830508467</v>
      </c>
      <c r="AN6" s="75">
        <f t="shared" si="2"/>
        <v>314421.35593220324</v>
      </c>
      <c r="AO6" s="75">
        <f t="shared" si="2"/>
        <v>323748.81355932192</v>
      </c>
      <c r="AP6" s="75">
        <f t="shared" si="2"/>
        <v>333076.2711864406</v>
      </c>
      <c r="AQ6" s="75">
        <f t="shared" si="2"/>
        <v>342403.72881355917</v>
      </c>
      <c r="AR6" s="75">
        <f t="shared" si="2"/>
        <v>351731.18644067785</v>
      </c>
      <c r="AS6" s="75">
        <f t="shared" si="2"/>
        <v>361058.64406779647</v>
      </c>
      <c r="AT6" s="75">
        <f t="shared" si="2"/>
        <v>370386.10169491515</v>
      </c>
      <c r="AU6" s="75">
        <f t="shared" si="2"/>
        <v>379713.55932203372</v>
      </c>
      <c r="AV6" s="75">
        <f t="shared" si="2"/>
        <v>389041.0169491524</v>
      </c>
      <c r="AW6" s="75">
        <f t="shared" si="2"/>
        <v>398368.47457627102</v>
      </c>
      <c r="AX6" s="75">
        <f t="shared" si="2"/>
        <v>407695.93220338965</v>
      </c>
      <c r="AY6" s="75">
        <f t="shared" si="2"/>
        <v>417023.38983050827</v>
      </c>
      <c r="AZ6" s="75">
        <f t="shared" si="2"/>
        <v>426350.84745762695</v>
      </c>
      <c r="BA6" s="75">
        <f t="shared" si="2"/>
        <v>435678.30508474557</v>
      </c>
      <c r="BB6" s="75">
        <f t="shared" si="2"/>
        <v>445005.76271186414</v>
      </c>
      <c r="BC6" s="75">
        <f t="shared" si="2"/>
        <v>454333.22033898282</v>
      </c>
      <c r="BD6" s="75">
        <f t="shared" si="2"/>
        <v>463660.6779661015</v>
      </c>
      <c r="BE6" s="75">
        <f t="shared" si="2"/>
        <v>472988.13559322013</v>
      </c>
      <c r="BF6" s="75">
        <f t="shared" si="2"/>
        <v>482315.59322033869</v>
      </c>
      <c r="BG6" s="75">
        <f t="shared" si="2"/>
        <v>491643.05084745737</v>
      </c>
      <c r="BH6" s="75">
        <f t="shared" si="2"/>
        <v>500970.50847457605</v>
      </c>
      <c r="BI6" s="75">
        <f t="shared" si="2"/>
        <v>510297.96610169462</v>
      </c>
      <c r="BJ6" s="75">
        <f t="shared" si="2"/>
        <v>519625.42372881324</v>
      </c>
      <c r="BK6" s="75">
        <f t="shared" si="2"/>
        <v>528952.88135593187</v>
      </c>
      <c r="BL6" s="75">
        <f t="shared" si="2"/>
        <v>538280.33898305055</v>
      </c>
      <c r="BM6" s="75">
        <f t="shared" si="2"/>
        <v>547607.79661016923</v>
      </c>
      <c r="BN6" s="75">
        <f t="shared" si="2"/>
        <v>556935.25423728779</v>
      </c>
      <c r="BO6" s="75">
        <f t="shared" si="2"/>
        <v>566262.71186440636</v>
      </c>
      <c r="BP6" s="75">
        <f t="shared" si="2"/>
        <v>575590.16949152516</v>
      </c>
      <c r="BQ6" s="75">
        <f t="shared" si="2"/>
        <v>584917.62711864372</v>
      </c>
      <c r="BR6" s="75">
        <f t="shared" si="2"/>
        <v>594245.08474576229</v>
      </c>
      <c r="BS6" s="75">
        <f t="shared" si="2"/>
        <v>603572.54237288109</v>
      </c>
      <c r="BT6" s="75">
        <f t="shared" si="2"/>
        <v>612899.99999999965</v>
      </c>
      <c r="BU6" s="11"/>
      <c r="BV6" s="78">
        <f t="shared" ref="BV6:BZ12" si="3">SUMIF($M$3:$BT$3,BV$3,$M6:$BT6)</f>
        <v>1366572.2033898309</v>
      </c>
      <c r="BW6" s="78">
        <f t="shared" si="3"/>
        <v>2709726.1016949145</v>
      </c>
      <c r="BX6" s="78">
        <f t="shared" si="3"/>
        <v>4052879.9999999986</v>
      </c>
      <c r="BY6" s="78">
        <f t="shared" si="3"/>
        <v>5396033.8983050836</v>
      </c>
      <c r="BZ6" s="78">
        <f t="shared" si="3"/>
        <v>6739187.7966101654</v>
      </c>
    </row>
    <row r="7" spans="1:78" x14ac:dyDescent="0.3">
      <c r="A7" s="30" t="str">
        <f>Assumptions!A17</f>
        <v>Cloud services (AWS, Google Cloud, Azure)</v>
      </c>
      <c r="M7" s="37">
        <f>Assumptions!M17</f>
        <v>50000</v>
      </c>
      <c r="N7" s="37">
        <f>Assumptions!N17</f>
        <v>57627.118644067799</v>
      </c>
      <c r="O7" s="37">
        <f>Assumptions!O17</f>
        <v>65254.237288135599</v>
      </c>
      <c r="P7" s="37">
        <f>Assumptions!P17</f>
        <v>72881.355932203398</v>
      </c>
      <c r="Q7" s="37">
        <f>Assumptions!Q17</f>
        <v>80508.474576271197</v>
      </c>
      <c r="R7" s="37">
        <f>Assumptions!R17</f>
        <v>88135.593220338997</v>
      </c>
      <c r="S7" s="37">
        <f>Assumptions!S17</f>
        <v>95762.711864406796</v>
      </c>
      <c r="T7" s="37">
        <f>Assumptions!T17</f>
        <v>103389.8305084746</v>
      </c>
      <c r="U7" s="37">
        <f>Assumptions!U17</f>
        <v>111016.94915254239</v>
      </c>
      <c r="V7" s="37">
        <f>Assumptions!V17</f>
        <v>118644.06779661019</v>
      </c>
      <c r="W7" s="37">
        <f>Assumptions!W17</f>
        <v>126271.18644067799</v>
      </c>
      <c r="X7" s="37">
        <f>Assumptions!X17</f>
        <v>133898.30508474578</v>
      </c>
      <c r="Y7" s="37">
        <f>Assumptions!Y17</f>
        <v>141525.42372881356</v>
      </c>
      <c r="Z7" s="37">
        <f>Assumptions!Z17</f>
        <v>149152.54237288135</v>
      </c>
      <c r="AA7" s="37">
        <f>Assumptions!AA17</f>
        <v>156779.66101694913</v>
      </c>
      <c r="AB7" s="37">
        <f>Assumptions!AB17</f>
        <v>164406.77966101692</v>
      </c>
      <c r="AC7" s="37">
        <f>Assumptions!AC17</f>
        <v>172033.8983050847</v>
      </c>
      <c r="AD7" s="37">
        <f>Assumptions!AD17</f>
        <v>179661.01694915249</v>
      </c>
      <c r="AE7" s="37">
        <f>Assumptions!AE17</f>
        <v>187288.13559322027</v>
      </c>
      <c r="AF7" s="37">
        <f>Assumptions!AF17</f>
        <v>194915.25423728806</v>
      </c>
      <c r="AG7" s="37">
        <f>Assumptions!AG17</f>
        <v>202542.37288135584</v>
      </c>
      <c r="AH7" s="37">
        <f>Assumptions!AH17</f>
        <v>210169.49152542363</v>
      </c>
      <c r="AI7" s="37">
        <f>Assumptions!AI17</f>
        <v>217796.61016949141</v>
      </c>
      <c r="AJ7" s="37">
        <f>Assumptions!AJ17</f>
        <v>225423.7288135592</v>
      </c>
      <c r="AK7" s="37">
        <f>Assumptions!AK17</f>
        <v>233050.84745762698</v>
      </c>
      <c r="AL7" s="37">
        <f>Assumptions!AL17</f>
        <v>240677.96610169476</v>
      </c>
      <c r="AM7" s="37">
        <f>Assumptions!AM17</f>
        <v>248305.08474576255</v>
      </c>
      <c r="AN7" s="37">
        <f>Assumptions!AN17</f>
        <v>255932.20338983033</v>
      </c>
      <c r="AO7" s="37">
        <f>Assumptions!AO17</f>
        <v>263559.32203389815</v>
      </c>
      <c r="AP7" s="37">
        <f>Assumptions!AP17</f>
        <v>271186.44067796593</v>
      </c>
      <c r="AQ7" s="37">
        <f>Assumptions!AQ17</f>
        <v>278813.55932203372</v>
      </c>
      <c r="AR7" s="37">
        <f>Assumptions!AR17</f>
        <v>286440.6779661015</v>
      </c>
      <c r="AS7" s="37">
        <f>Assumptions!AS17</f>
        <v>294067.79661016929</v>
      </c>
      <c r="AT7" s="37">
        <f>Assumptions!AT17</f>
        <v>301694.91525423707</v>
      </c>
      <c r="AU7" s="37">
        <f>Assumptions!AU17</f>
        <v>309322.03389830486</v>
      </c>
      <c r="AV7" s="37">
        <f>Assumptions!AV17</f>
        <v>316949.15254237264</v>
      </c>
      <c r="AW7" s="37">
        <f>Assumptions!AW17</f>
        <v>324576.27118644043</v>
      </c>
      <c r="AX7" s="37">
        <f>Assumptions!AX17</f>
        <v>332203.38983050821</v>
      </c>
      <c r="AY7" s="37">
        <f>Assumptions!AY17</f>
        <v>339830.508474576</v>
      </c>
      <c r="AZ7" s="37">
        <f>Assumptions!AZ17</f>
        <v>347457.62711864378</v>
      </c>
      <c r="BA7" s="37">
        <f>Assumptions!BA17</f>
        <v>355084.74576271157</v>
      </c>
      <c r="BB7" s="37">
        <f>Assumptions!BB17</f>
        <v>362711.86440677935</v>
      </c>
      <c r="BC7" s="37">
        <f>Assumptions!BC17</f>
        <v>370338.98305084714</v>
      </c>
      <c r="BD7" s="37">
        <f>Assumptions!BD17</f>
        <v>377966.10169491492</v>
      </c>
      <c r="BE7" s="37">
        <f>Assumptions!BE17</f>
        <v>385593.2203389827</v>
      </c>
      <c r="BF7" s="37">
        <f>Assumptions!BF17</f>
        <v>393220.33898305049</v>
      </c>
      <c r="BG7" s="37">
        <f>Assumptions!BG17</f>
        <v>400847.45762711827</v>
      </c>
      <c r="BH7" s="37">
        <f>Assumptions!BH17</f>
        <v>408474.57627118606</v>
      </c>
      <c r="BI7" s="37">
        <f>Assumptions!BI17</f>
        <v>416101.69491525384</v>
      </c>
      <c r="BJ7" s="37">
        <f>Assumptions!BJ17</f>
        <v>423728.81355932163</v>
      </c>
      <c r="BK7" s="37">
        <f>Assumptions!BK17</f>
        <v>431355.93220338941</v>
      </c>
      <c r="BL7" s="37">
        <f>Assumptions!BL17</f>
        <v>438983.0508474572</v>
      </c>
      <c r="BM7" s="37">
        <f>Assumptions!BM17</f>
        <v>446610.16949152498</v>
      </c>
      <c r="BN7" s="37">
        <f>Assumptions!BN17</f>
        <v>454237.28813559277</v>
      </c>
      <c r="BO7" s="37">
        <f>Assumptions!BO17</f>
        <v>461864.40677966055</v>
      </c>
      <c r="BP7" s="37">
        <f>Assumptions!BP17</f>
        <v>469491.52542372834</v>
      </c>
      <c r="BQ7" s="37">
        <f>Assumptions!BQ17</f>
        <v>477118.64406779612</v>
      </c>
      <c r="BR7" s="37">
        <f>Assumptions!BR17</f>
        <v>484745.76271186391</v>
      </c>
      <c r="BS7" s="37">
        <f>Assumptions!BS17</f>
        <v>492372.88135593169</v>
      </c>
      <c r="BT7" s="37">
        <f>Assumptions!BT17</f>
        <v>499999.99999999948</v>
      </c>
      <c r="BU7" s="11"/>
      <c r="BV7" s="37">
        <f t="shared" si="3"/>
        <v>1103389.8305084747</v>
      </c>
      <c r="BW7" s="37">
        <f t="shared" si="3"/>
        <v>2201694.9152542367</v>
      </c>
      <c r="BX7" s="37">
        <f t="shared" si="3"/>
        <v>3299999.9999999977</v>
      </c>
      <c r="BY7" s="37">
        <f t="shared" si="3"/>
        <v>4398305.0847457582</v>
      </c>
      <c r="BZ7" s="37">
        <f t="shared" si="3"/>
        <v>5496610.1694915192</v>
      </c>
    </row>
    <row r="8" spans="1:78" x14ac:dyDescent="0.3">
      <c r="A8" s="30" t="str">
        <f>Assumptions!A18</f>
        <v>Database and storage (Amazon RDS, MongoDB Atlas)</v>
      </c>
      <c r="M8" s="37">
        <f>Assumptions!M18</f>
        <v>10000</v>
      </c>
      <c r="N8" s="37">
        <f>Assumptions!N18</f>
        <v>11525.423728813559</v>
      </c>
      <c r="O8" s="37">
        <f>Assumptions!O18</f>
        <v>13050.847457627118</v>
      </c>
      <c r="P8" s="37">
        <f>Assumptions!P18</f>
        <v>14576.271186440677</v>
      </c>
      <c r="Q8" s="37">
        <f>Assumptions!Q18</f>
        <v>16101.694915254237</v>
      </c>
      <c r="R8" s="37">
        <f>Assumptions!R18</f>
        <v>17627.118644067796</v>
      </c>
      <c r="S8" s="37">
        <f>Assumptions!S18</f>
        <v>19152.542372881355</v>
      </c>
      <c r="T8" s="37">
        <f>Assumptions!T18</f>
        <v>20677.966101694914</v>
      </c>
      <c r="U8" s="37">
        <f>Assumptions!U18</f>
        <v>22203.389830508473</v>
      </c>
      <c r="V8" s="37">
        <f>Assumptions!V18</f>
        <v>23728.813559322032</v>
      </c>
      <c r="W8" s="37">
        <f>Assumptions!W18</f>
        <v>25254.237288135591</v>
      </c>
      <c r="X8" s="37">
        <f>Assumptions!X18</f>
        <v>26779.661016949151</v>
      </c>
      <c r="Y8" s="37">
        <f>Assumptions!Y18</f>
        <v>28305.08474576271</v>
      </c>
      <c r="Z8" s="37">
        <f>Assumptions!Z18</f>
        <v>29830.508474576269</v>
      </c>
      <c r="AA8" s="37">
        <f>Assumptions!AA18</f>
        <v>31355.932203389828</v>
      </c>
      <c r="AB8" s="37">
        <f>Assumptions!AB18</f>
        <v>32881.355932203391</v>
      </c>
      <c r="AC8" s="37">
        <f>Assumptions!AC18</f>
        <v>34406.779661016953</v>
      </c>
      <c r="AD8" s="37">
        <f>Assumptions!AD18</f>
        <v>35932.203389830516</v>
      </c>
      <c r="AE8" s="37">
        <f>Assumptions!AE18</f>
        <v>37457.627118644079</v>
      </c>
      <c r="AF8" s="37">
        <f>Assumptions!AF18</f>
        <v>38983.050847457642</v>
      </c>
      <c r="AG8" s="37">
        <f>Assumptions!AG18</f>
        <v>40508.474576271205</v>
      </c>
      <c r="AH8" s="37">
        <f>Assumptions!AH18</f>
        <v>42033.898305084767</v>
      </c>
      <c r="AI8" s="37">
        <f>Assumptions!AI18</f>
        <v>43559.32203389833</v>
      </c>
      <c r="AJ8" s="37">
        <f>Assumptions!AJ18</f>
        <v>45084.745762711893</v>
      </c>
      <c r="AK8" s="37">
        <f>Assumptions!AK18</f>
        <v>46610.169491525456</v>
      </c>
      <c r="AL8" s="37">
        <f>Assumptions!AL18</f>
        <v>48135.593220339018</v>
      </c>
      <c r="AM8" s="37">
        <f>Assumptions!AM18</f>
        <v>49661.016949152581</v>
      </c>
      <c r="AN8" s="37">
        <f>Assumptions!AN18</f>
        <v>51186.440677966144</v>
      </c>
      <c r="AO8" s="37">
        <f>Assumptions!AO18</f>
        <v>52711.864406779707</v>
      </c>
      <c r="AP8" s="37">
        <f>Assumptions!AP18</f>
        <v>54237.28813559327</v>
      </c>
      <c r="AQ8" s="37">
        <f>Assumptions!AQ18</f>
        <v>55762.711864406832</v>
      </c>
      <c r="AR8" s="37">
        <f>Assumptions!AR18</f>
        <v>57288.135593220395</v>
      </c>
      <c r="AS8" s="37">
        <f>Assumptions!AS18</f>
        <v>58813.559322033958</v>
      </c>
      <c r="AT8" s="37">
        <f>Assumptions!AT18</f>
        <v>60338.983050847521</v>
      </c>
      <c r="AU8" s="37">
        <f>Assumptions!AU18</f>
        <v>61864.406779661083</v>
      </c>
      <c r="AV8" s="37">
        <f>Assumptions!AV18</f>
        <v>63389.830508474646</v>
      </c>
      <c r="AW8" s="37">
        <f>Assumptions!AW18</f>
        <v>64915.254237288209</v>
      </c>
      <c r="AX8" s="37">
        <f>Assumptions!AX18</f>
        <v>66440.677966101764</v>
      </c>
      <c r="AY8" s="37">
        <f>Assumptions!AY18</f>
        <v>67966.101694915327</v>
      </c>
      <c r="AZ8" s="37">
        <f>Assumptions!AZ18</f>
        <v>69491.52542372889</v>
      </c>
      <c r="BA8" s="37">
        <f>Assumptions!BA18</f>
        <v>71016.949152542453</v>
      </c>
      <c r="BB8" s="37">
        <f>Assumptions!BB18</f>
        <v>72542.372881356016</v>
      </c>
      <c r="BC8" s="37">
        <f>Assumptions!BC18</f>
        <v>74067.796610169578</v>
      </c>
      <c r="BD8" s="37">
        <f>Assumptions!BD18</f>
        <v>75593.220338983141</v>
      </c>
      <c r="BE8" s="37">
        <f>Assumptions!BE18</f>
        <v>77118.644067796704</v>
      </c>
      <c r="BF8" s="37">
        <f>Assumptions!BF18</f>
        <v>78644.067796610267</v>
      </c>
      <c r="BG8" s="37">
        <f>Assumptions!BG18</f>
        <v>80169.491525423829</v>
      </c>
      <c r="BH8" s="37">
        <f>Assumptions!BH18</f>
        <v>81694.915254237392</v>
      </c>
      <c r="BI8" s="37">
        <f>Assumptions!BI18</f>
        <v>83220.338983050955</v>
      </c>
      <c r="BJ8" s="37">
        <f>Assumptions!BJ18</f>
        <v>84745.762711864518</v>
      </c>
      <c r="BK8" s="37">
        <f>Assumptions!BK18</f>
        <v>86271.186440678081</v>
      </c>
      <c r="BL8" s="37">
        <f>Assumptions!BL18</f>
        <v>87796.610169491643</v>
      </c>
      <c r="BM8" s="37">
        <f>Assumptions!BM18</f>
        <v>89322.033898305206</v>
      </c>
      <c r="BN8" s="37">
        <f>Assumptions!BN18</f>
        <v>90847.457627118769</v>
      </c>
      <c r="BO8" s="37">
        <f>Assumptions!BO18</f>
        <v>92372.881355932332</v>
      </c>
      <c r="BP8" s="37">
        <f>Assumptions!BP18</f>
        <v>93898.305084745894</v>
      </c>
      <c r="BQ8" s="37">
        <f>Assumptions!BQ18</f>
        <v>95423.728813559457</v>
      </c>
      <c r="BR8" s="37">
        <f>Assumptions!BR18</f>
        <v>96949.15254237302</v>
      </c>
      <c r="BS8" s="37">
        <f>Assumptions!BS18</f>
        <v>98474.576271186583</v>
      </c>
      <c r="BT8" s="37">
        <f>Assumptions!BT18</f>
        <v>100000.00000000015</v>
      </c>
      <c r="BU8" s="11"/>
      <c r="BV8" s="37">
        <f t="shared" si="3"/>
        <v>220677.96610169491</v>
      </c>
      <c r="BW8" s="37">
        <f t="shared" si="3"/>
        <v>440338.9830508476</v>
      </c>
      <c r="BX8" s="37">
        <f t="shared" si="3"/>
        <v>660000.00000000058</v>
      </c>
      <c r="BY8" s="37">
        <f t="shared" si="3"/>
        <v>879661.01694915362</v>
      </c>
      <c r="BZ8" s="37">
        <f t="shared" si="3"/>
        <v>1099322.0338983065</v>
      </c>
    </row>
    <row r="9" spans="1:78" x14ac:dyDescent="0.3">
      <c r="A9" s="30" t="str">
        <f>Assumptions!A19</f>
        <v>Content delivery networks (CDN)</v>
      </c>
      <c r="M9" s="37">
        <f>Assumptions!M19</f>
        <v>2580</v>
      </c>
      <c r="N9" s="37">
        <f>Assumptions!N19</f>
        <v>2754.9152542372881</v>
      </c>
      <c r="O9" s="37">
        <f>Assumptions!O19</f>
        <v>2929.8305084745762</v>
      </c>
      <c r="P9" s="37">
        <f>Assumptions!P19</f>
        <v>3104.7457627118642</v>
      </c>
      <c r="Q9" s="37">
        <f>Assumptions!Q19</f>
        <v>3279.6610169491523</v>
      </c>
      <c r="R9" s="37">
        <f>Assumptions!R19</f>
        <v>3454.5762711864404</v>
      </c>
      <c r="S9" s="37">
        <f>Assumptions!S19</f>
        <v>3629.4915254237285</v>
      </c>
      <c r="T9" s="37">
        <f>Assumptions!T19</f>
        <v>3804.4067796610166</v>
      </c>
      <c r="U9" s="37">
        <f>Assumptions!U19</f>
        <v>3979.3220338983047</v>
      </c>
      <c r="V9" s="37">
        <f>Assumptions!V19</f>
        <v>4154.2372881355932</v>
      </c>
      <c r="W9" s="37">
        <f>Assumptions!W19</f>
        <v>4329.1525423728817</v>
      </c>
      <c r="X9" s="37">
        <f>Assumptions!X19</f>
        <v>4504.0677966101703</v>
      </c>
      <c r="Y9" s="37">
        <f>Assumptions!Y19</f>
        <v>4678.9830508474588</v>
      </c>
      <c r="Z9" s="37">
        <f>Assumptions!Z19</f>
        <v>4853.8983050847473</v>
      </c>
      <c r="AA9" s="37">
        <f>Assumptions!AA19</f>
        <v>5028.8135593220359</v>
      </c>
      <c r="AB9" s="37">
        <f>Assumptions!AB19</f>
        <v>5203.7288135593244</v>
      </c>
      <c r="AC9" s="37">
        <f>Assumptions!AC19</f>
        <v>5378.6440677966129</v>
      </c>
      <c r="AD9" s="37">
        <f>Assumptions!AD19</f>
        <v>5553.5593220339015</v>
      </c>
      <c r="AE9" s="37">
        <f>Assumptions!AE19</f>
        <v>5728.47457627119</v>
      </c>
      <c r="AF9" s="37">
        <f>Assumptions!AF19</f>
        <v>5903.3898305084786</v>
      </c>
      <c r="AG9" s="37">
        <f>Assumptions!AG19</f>
        <v>6078.3050847457671</v>
      </c>
      <c r="AH9" s="37">
        <f>Assumptions!AH19</f>
        <v>6253.2203389830556</v>
      </c>
      <c r="AI9" s="37">
        <f>Assumptions!AI19</f>
        <v>6428.1355932203442</v>
      </c>
      <c r="AJ9" s="37">
        <f>Assumptions!AJ19</f>
        <v>6603.0508474576327</v>
      </c>
      <c r="AK9" s="37">
        <f>Assumptions!AK19</f>
        <v>6777.9661016949212</v>
      </c>
      <c r="AL9" s="37">
        <f>Assumptions!AL19</f>
        <v>6952.8813559322098</v>
      </c>
      <c r="AM9" s="37">
        <f>Assumptions!AM19</f>
        <v>7127.7966101694983</v>
      </c>
      <c r="AN9" s="37">
        <f>Assumptions!AN19</f>
        <v>7302.7118644067868</v>
      </c>
      <c r="AO9" s="37">
        <f>Assumptions!AO19</f>
        <v>7477.6271186440754</v>
      </c>
      <c r="AP9" s="37">
        <f>Assumptions!AP19</f>
        <v>7652.5423728813639</v>
      </c>
      <c r="AQ9" s="37">
        <f>Assumptions!AQ19</f>
        <v>7827.4576271186525</v>
      </c>
      <c r="AR9" s="37">
        <f>Assumptions!AR19</f>
        <v>8002.372881355941</v>
      </c>
      <c r="AS9" s="37">
        <f>Assumptions!AS19</f>
        <v>8177.2881355932295</v>
      </c>
      <c r="AT9" s="37">
        <f>Assumptions!AT19</f>
        <v>8352.2033898305181</v>
      </c>
      <c r="AU9" s="37">
        <f>Assumptions!AU19</f>
        <v>8527.1186440678066</v>
      </c>
      <c r="AV9" s="37">
        <f>Assumptions!AV19</f>
        <v>8702.0338983050951</v>
      </c>
      <c r="AW9" s="37">
        <f>Assumptions!AW19</f>
        <v>8876.9491525423837</v>
      </c>
      <c r="AX9" s="37">
        <f>Assumptions!AX19</f>
        <v>9051.8644067796722</v>
      </c>
      <c r="AY9" s="37">
        <f>Assumptions!AY19</f>
        <v>9226.7796610169607</v>
      </c>
      <c r="AZ9" s="37">
        <f>Assumptions!AZ19</f>
        <v>9401.6949152542493</v>
      </c>
      <c r="BA9" s="37">
        <f>Assumptions!BA19</f>
        <v>9576.6101694915378</v>
      </c>
      <c r="BB9" s="37">
        <f>Assumptions!BB19</f>
        <v>9751.5254237288264</v>
      </c>
      <c r="BC9" s="37">
        <f>Assumptions!BC19</f>
        <v>9926.4406779661149</v>
      </c>
      <c r="BD9" s="37">
        <f>Assumptions!BD19</f>
        <v>10101.355932203403</v>
      </c>
      <c r="BE9" s="37">
        <f>Assumptions!BE19</f>
        <v>10276.271186440692</v>
      </c>
      <c r="BF9" s="37">
        <f>Assumptions!BF19</f>
        <v>10451.18644067798</v>
      </c>
      <c r="BG9" s="37">
        <f>Assumptions!BG19</f>
        <v>10626.101694915269</v>
      </c>
      <c r="BH9" s="37">
        <f>Assumptions!BH19</f>
        <v>10801.016949152558</v>
      </c>
      <c r="BI9" s="37">
        <f>Assumptions!BI19</f>
        <v>10975.932203389846</v>
      </c>
      <c r="BJ9" s="37">
        <f>Assumptions!BJ19</f>
        <v>11150.847457627135</v>
      </c>
      <c r="BK9" s="37">
        <f>Assumptions!BK19</f>
        <v>11325.762711864423</v>
      </c>
      <c r="BL9" s="37">
        <f>Assumptions!BL19</f>
        <v>11500.677966101712</v>
      </c>
      <c r="BM9" s="37">
        <f>Assumptions!BM19</f>
        <v>11675.593220339</v>
      </c>
      <c r="BN9" s="37">
        <f>Assumptions!BN19</f>
        <v>11850.508474576289</v>
      </c>
      <c r="BO9" s="37">
        <f>Assumptions!BO19</f>
        <v>12025.423728813577</v>
      </c>
      <c r="BP9" s="37">
        <f>Assumptions!BP19</f>
        <v>12200.338983050866</v>
      </c>
      <c r="BQ9" s="37">
        <f>Assumptions!BQ19</f>
        <v>12375.254237288154</v>
      </c>
      <c r="BR9" s="37">
        <f>Assumptions!BR19</f>
        <v>12550.169491525443</v>
      </c>
      <c r="BS9" s="37">
        <f>Assumptions!BS19</f>
        <v>12725.084745762731</v>
      </c>
      <c r="BT9" s="37">
        <f>Assumptions!BT19</f>
        <v>12900.00000000002</v>
      </c>
      <c r="BU9" s="11"/>
      <c r="BV9" s="37">
        <f t="shared" si="3"/>
        <v>42504.406779661018</v>
      </c>
      <c r="BW9" s="37">
        <f t="shared" si="3"/>
        <v>67692.203389830553</v>
      </c>
      <c r="BX9" s="37">
        <f t="shared" si="3"/>
        <v>92880.000000000116</v>
      </c>
      <c r="BY9" s="37">
        <f t="shared" si="3"/>
        <v>118067.79661016964</v>
      </c>
      <c r="BZ9" s="37">
        <f t="shared" si="3"/>
        <v>143255.59322033921</v>
      </c>
    </row>
    <row r="10" spans="1:78" x14ac:dyDescent="0.3">
      <c r="A10" s="29" t="str">
        <f>Assumptions!A20</f>
        <v>Third-Party Software &amp; API Costs</v>
      </c>
      <c r="M10" s="78">
        <f>SUM(M11:M12)</f>
        <v>12200</v>
      </c>
      <c r="N10" s="78">
        <f t="shared" ref="N10:BT10" si="4">SUM(N11:N12)</f>
        <v>12538.983050847459</v>
      </c>
      <c r="O10" s="78">
        <f t="shared" si="4"/>
        <v>12877.966101694916</v>
      </c>
      <c r="P10" s="78">
        <f t="shared" si="4"/>
        <v>16816.949152542373</v>
      </c>
      <c r="Q10" s="78">
        <f t="shared" si="4"/>
        <v>17155.932203389832</v>
      </c>
      <c r="R10" s="78">
        <f t="shared" si="4"/>
        <v>17494.91525423729</v>
      </c>
      <c r="S10" s="78">
        <f t="shared" si="4"/>
        <v>30433.898305084746</v>
      </c>
      <c r="T10" s="78">
        <f t="shared" si="4"/>
        <v>30772.881355932204</v>
      </c>
      <c r="U10" s="78">
        <f t="shared" si="4"/>
        <v>31111.864406779663</v>
      </c>
      <c r="V10" s="78">
        <f t="shared" si="4"/>
        <v>42250.847457627118</v>
      </c>
      <c r="W10" s="78">
        <f t="shared" si="4"/>
        <v>42589.830508474581</v>
      </c>
      <c r="X10" s="78">
        <f t="shared" si="4"/>
        <v>42928.813559322036</v>
      </c>
      <c r="Y10" s="78">
        <f t="shared" si="4"/>
        <v>53347.796610169491</v>
      </c>
      <c r="Z10" s="78">
        <f t="shared" si="4"/>
        <v>53686.779661016946</v>
      </c>
      <c r="AA10" s="78">
        <f t="shared" si="4"/>
        <v>54025.762711864409</v>
      </c>
      <c r="AB10" s="78">
        <f t="shared" si="4"/>
        <v>63724.745762711864</v>
      </c>
      <c r="AC10" s="78">
        <f t="shared" si="4"/>
        <v>64063.728813559319</v>
      </c>
      <c r="AD10" s="78">
        <f t="shared" si="4"/>
        <v>64402.711864406781</v>
      </c>
      <c r="AE10" s="78">
        <f t="shared" si="4"/>
        <v>120541.69491525424</v>
      </c>
      <c r="AF10" s="78">
        <f t="shared" si="4"/>
        <v>120880.67796610169</v>
      </c>
      <c r="AG10" s="78">
        <f t="shared" si="4"/>
        <v>121219.66101694915</v>
      </c>
      <c r="AH10" s="78">
        <f t="shared" si="4"/>
        <v>139198.64406779662</v>
      </c>
      <c r="AI10" s="78">
        <f t="shared" si="4"/>
        <v>139537.62711864407</v>
      </c>
      <c r="AJ10" s="78">
        <f t="shared" si="4"/>
        <v>139876.61016949153</v>
      </c>
      <c r="AK10" s="78">
        <f t="shared" si="4"/>
        <v>149935.59322033898</v>
      </c>
      <c r="AL10" s="78">
        <f t="shared" si="4"/>
        <v>150274.57627118644</v>
      </c>
      <c r="AM10" s="78">
        <f t="shared" si="4"/>
        <v>150613.55932203389</v>
      </c>
      <c r="AN10" s="78">
        <f t="shared" si="4"/>
        <v>158872.54237288135</v>
      </c>
      <c r="AO10" s="78">
        <f t="shared" si="4"/>
        <v>159211.5254237288</v>
      </c>
      <c r="AP10" s="78">
        <f t="shared" si="4"/>
        <v>159550.50847457626</v>
      </c>
      <c r="AQ10" s="78">
        <f t="shared" si="4"/>
        <v>204169.49152542371</v>
      </c>
      <c r="AR10" s="78">
        <f t="shared" si="4"/>
        <v>204508.47457627117</v>
      </c>
      <c r="AS10" s="78">
        <f t="shared" si="4"/>
        <v>204847.45762711862</v>
      </c>
      <c r="AT10" s="78">
        <f t="shared" si="4"/>
        <v>215266.44067796608</v>
      </c>
      <c r="AU10" s="78">
        <f t="shared" si="4"/>
        <v>215605.42372881353</v>
      </c>
      <c r="AV10" s="78">
        <f t="shared" si="4"/>
        <v>215944.40677966102</v>
      </c>
      <c r="AW10" s="78">
        <f t="shared" si="4"/>
        <v>240763.38983050847</v>
      </c>
      <c r="AX10" s="78">
        <f t="shared" si="4"/>
        <v>241102.37288135593</v>
      </c>
      <c r="AY10" s="78">
        <f t="shared" si="4"/>
        <v>241441.35593220338</v>
      </c>
      <c r="AZ10" s="78">
        <f t="shared" si="4"/>
        <v>249340.33898305084</v>
      </c>
      <c r="BA10" s="78">
        <f t="shared" si="4"/>
        <v>249679.32203389829</v>
      </c>
      <c r="BB10" s="78">
        <f t="shared" si="4"/>
        <v>250018.30508474575</v>
      </c>
      <c r="BC10" s="78">
        <f t="shared" si="4"/>
        <v>258277.28813559323</v>
      </c>
      <c r="BD10" s="78">
        <f t="shared" si="4"/>
        <v>258616.27118644069</v>
      </c>
      <c r="BE10" s="78">
        <f t="shared" si="4"/>
        <v>258955.25423728814</v>
      </c>
      <c r="BF10" s="78">
        <f t="shared" si="4"/>
        <v>266854.23728813557</v>
      </c>
      <c r="BG10" s="78">
        <f t="shared" si="4"/>
        <v>267193.22033898305</v>
      </c>
      <c r="BH10" s="78">
        <f t="shared" si="4"/>
        <v>267532.20338983054</v>
      </c>
      <c r="BI10" s="78">
        <f t="shared" si="4"/>
        <v>300991.18644067796</v>
      </c>
      <c r="BJ10" s="78">
        <f t="shared" si="4"/>
        <v>301330.16949152545</v>
      </c>
      <c r="BK10" s="78">
        <f t="shared" si="4"/>
        <v>301669.15254237287</v>
      </c>
      <c r="BL10" s="78">
        <f t="shared" si="4"/>
        <v>312088.13559322036</v>
      </c>
      <c r="BM10" s="78">
        <f t="shared" si="4"/>
        <v>312427.11864406778</v>
      </c>
      <c r="BN10" s="78">
        <f t="shared" si="4"/>
        <v>312766.10169491527</v>
      </c>
      <c r="BO10" s="78">
        <f t="shared" si="4"/>
        <v>320665.08474576275</v>
      </c>
      <c r="BP10" s="78">
        <f t="shared" si="4"/>
        <v>321004.06779661018</v>
      </c>
      <c r="BQ10" s="78">
        <f t="shared" si="4"/>
        <v>321343.05084745766</v>
      </c>
      <c r="BR10" s="78">
        <f t="shared" si="4"/>
        <v>329602.03389830509</v>
      </c>
      <c r="BS10" s="78">
        <f t="shared" si="4"/>
        <v>329941.01694915257</v>
      </c>
      <c r="BT10" s="78">
        <f t="shared" si="4"/>
        <v>330280</v>
      </c>
      <c r="BU10" s="11"/>
      <c r="BV10" s="78">
        <f t="shared" si="3"/>
        <v>309172.88135593222</v>
      </c>
      <c r="BW10" s="78">
        <f t="shared" si="3"/>
        <v>1134506.4406779662</v>
      </c>
      <c r="BX10" s="78">
        <f t="shared" si="3"/>
        <v>2188799.9999999995</v>
      </c>
      <c r="BY10" s="78">
        <f t="shared" si="3"/>
        <v>3049773.5593220335</v>
      </c>
      <c r="BZ10" s="78">
        <f t="shared" si="3"/>
        <v>3794107.118644068</v>
      </c>
    </row>
    <row r="11" spans="1:78" x14ac:dyDescent="0.3">
      <c r="A11" s="30" t="str">
        <f>Assumptions!A21</f>
        <v>Payment gateway fees (e.g., Stripe, Razorpay)</v>
      </c>
      <c r="E11" s="30"/>
      <c r="F11" s="30" t="str">
        <f>Assumptions!F21</f>
        <v>as a % of bookings</v>
      </c>
      <c r="G11" s="30"/>
      <c r="H11" s="30"/>
      <c r="M11" s="24">
        <f>'Revenue Buildup'!M18*Assumptions!M21</f>
        <v>7200</v>
      </c>
      <c r="N11" s="24">
        <f>'Revenue Buildup'!N18*Assumptions!N21</f>
        <v>7200</v>
      </c>
      <c r="O11" s="24">
        <f>'Revenue Buildup'!O18*Assumptions!O21</f>
        <v>7200</v>
      </c>
      <c r="P11" s="24">
        <f>'Revenue Buildup'!P18*Assumptions!P21</f>
        <v>10800</v>
      </c>
      <c r="Q11" s="24">
        <f>'Revenue Buildup'!Q18*Assumptions!Q21</f>
        <v>10800</v>
      </c>
      <c r="R11" s="24">
        <f>'Revenue Buildup'!R18*Assumptions!R21</f>
        <v>10800</v>
      </c>
      <c r="S11" s="24">
        <f>'Revenue Buildup'!S18*Assumptions!S21</f>
        <v>23400</v>
      </c>
      <c r="T11" s="24">
        <f>'Revenue Buildup'!T18*Assumptions!T21</f>
        <v>23400</v>
      </c>
      <c r="U11" s="24">
        <f>'Revenue Buildup'!U18*Assumptions!U21</f>
        <v>23400</v>
      </c>
      <c r="V11" s="24">
        <f>'Revenue Buildup'!V18*Assumptions!V21</f>
        <v>34200</v>
      </c>
      <c r="W11" s="24">
        <f>'Revenue Buildup'!W18*Assumptions!W21</f>
        <v>34200</v>
      </c>
      <c r="X11" s="24">
        <f>'Revenue Buildup'!X18*Assumptions!X21</f>
        <v>34200</v>
      </c>
      <c r="Y11" s="24">
        <f>'Revenue Buildup'!Y18*Assumptions!Y21</f>
        <v>44280</v>
      </c>
      <c r="Z11" s="24">
        <f>'Revenue Buildup'!Z18*Assumptions!Z21</f>
        <v>44280</v>
      </c>
      <c r="AA11" s="24">
        <f>'Revenue Buildup'!AA18*Assumptions!AA21</f>
        <v>44280</v>
      </c>
      <c r="AB11" s="24">
        <f>'Revenue Buildup'!AB18*Assumptions!AB21</f>
        <v>53640</v>
      </c>
      <c r="AC11" s="24">
        <f>'Revenue Buildup'!AC18*Assumptions!AC21</f>
        <v>53640</v>
      </c>
      <c r="AD11" s="24">
        <f>'Revenue Buildup'!AD18*Assumptions!AD21</f>
        <v>53640</v>
      </c>
      <c r="AE11" s="24">
        <f>'Revenue Buildup'!AE18*Assumptions!AE21</f>
        <v>109440</v>
      </c>
      <c r="AF11" s="24">
        <f>'Revenue Buildup'!AF18*Assumptions!AF21</f>
        <v>109440</v>
      </c>
      <c r="AG11" s="24">
        <f>'Revenue Buildup'!AG18*Assumptions!AG21</f>
        <v>109440</v>
      </c>
      <c r="AH11" s="24">
        <f>'Revenue Buildup'!AH18*Assumptions!AH21</f>
        <v>127080</v>
      </c>
      <c r="AI11" s="24">
        <f>'Revenue Buildup'!AI18*Assumptions!AI21</f>
        <v>127080</v>
      </c>
      <c r="AJ11" s="24">
        <f>'Revenue Buildup'!AJ18*Assumptions!AJ21</f>
        <v>127080</v>
      </c>
      <c r="AK11" s="24">
        <f>'Revenue Buildup'!AK18*Assumptions!AK21</f>
        <v>136800</v>
      </c>
      <c r="AL11" s="24">
        <f>'Revenue Buildup'!AL18*Assumptions!AL21</f>
        <v>136800</v>
      </c>
      <c r="AM11" s="24">
        <f>'Revenue Buildup'!AM18*Assumptions!AM21</f>
        <v>136800</v>
      </c>
      <c r="AN11" s="24">
        <f>'Revenue Buildup'!AN18*Assumptions!AN21</f>
        <v>144720</v>
      </c>
      <c r="AO11" s="24">
        <f>'Revenue Buildup'!AO18*Assumptions!AO21</f>
        <v>144720</v>
      </c>
      <c r="AP11" s="24">
        <f>'Revenue Buildup'!AP18*Assumptions!AP21</f>
        <v>144720</v>
      </c>
      <c r="AQ11" s="24">
        <f>'Revenue Buildup'!AQ18*Assumptions!AQ21</f>
        <v>189000</v>
      </c>
      <c r="AR11" s="24">
        <f>'Revenue Buildup'!AR18*Assumptions!AR21</f>
        <v>189000</v>
      </c>
      <c r="AS11" s="24">
        <f>'Revenue Buildup'!AS18*Assumptions!AS21</f>
        <v>189000</v>
      </c>
      <c r="AT11" s="24">
        <f>'Revenue Buildup'!AT18*Assumptions!AT21</f>
        <v>199080</v>
      </c>
      <c r="AU11" s="24">
        <f>'Revenue Buildup'!AU18*Assumptions!AU21</f>
        <v>199080</v>
      </c>
      <c r="AV11" s="24">
        <f>'Revenue Buildup'!AV18*Assumptions!AV21</f>
        <v>199080</v>
      </c>
      <c r="AW11" s="24">
        <f>'Revenue Buildup'!AW18*Assumptions!AW21</f>
        <v>223560</v>
      </c>
      <c r="AX11" s="24">
        <f>'Revenue Buildup'!AX18*Assumptions!AX21</f>
        <v>223560</v>
      </c>
      <c r="AY11" s="24">
        <f>'Revenue Buildup'!AY18*Assumptions!AY21</f>
        <v>223560</v>
      </c>
      <c r="AZ11" s="24">
        <f>'Revenue Buildup'!AZ18*Assumptions!AZ21</f>
        <v>231120</v>
      </c>
      <c r="BA11" s="24">
        <f>'Revenue Buildup'!BA18*Assumptions!BA21</f>
        <v>231120</v>
      </c>
      <c r="BB11" s="24">
        <f>'Revenue Buildup'!BB18*Assumptions!BB21</f>
        <v>231120</v>
      </c>
      <c r="BC11" s="24">
        <f>'Revenue Buildup'!BC18*Assumptions!BC21</f>
        <v>239040</v>
      </c>
      <c r="BD11" s="24">
        <f>'Revenue Buildup'!BD18*Assumptions!BD21</f>
        <v>239040</v>
      </c>
      <c r="BE11" s="24">
        <f>'Revenue Buildup'!BE18*Assumptions!BE21</f>
        <v>239040</v>
      </c>
      <c r="BF11" s="24">
        <f>'Revenue Buildup'!BF18*Assumptions!BF21</f>
        <v>246600</v>
      </c>
      <c r="BG11" s="24">
        <f>'Revenue Buildup'!BG18*Assumptions!BG21</f>
        <v>246600</v>
      </c>
      <c r="BH11" s="24">
        <f>'Revenue Buildup'!BH18*Assumptions!BH21</f>
        <v>246600</v>
      </c>
      <c r="BI11" s="24">
        <f>'Revenue Buildup'!BI18*Assumptions!BI21</f>
        <v>279720</v>
      </c>
      <c r="BJ11" s="24">
        <f>'Revenue Buildup'!BJ18*Assumptions!BJ21</f>
        <v>279720</v>
      </c>
      <c r="BK11" s="24">
        <f>'Revenue Buildup'!BK18*Assumptions!BK21</f>
        <v>279720</v>
      </c>
      <c r="BL11" s="24">
        <f>'Revenue Buildup'!BL18*Assumptions!BL21</f>
        <v>289800</v>
      </c>
      <c r="BM11" s="24">
        <f>'Revenue Buildup'!BM18*Assumptions!BM21</f>
        <v>289800</v>
      </c>
      <c r="BN11" s="24">
        <f>'Revenue Buildup'!BN18*Assumptions!BN21</f>
        <v>289800</v>
      </c>
      <c r="BO11" s="24">
        <f>'Revenue Buildup'!BO18*Assumptions!BO21</f>
        <v>297360</v>
      </c>
      <c r="BP11" s="24">
        <f>'Revenue Buildup'!BP18*Assumptions!BP21</f>
        <v>297360</v>
      </c>
      <c r="BQ11" s="24">
        <f>'Revenue Buildup'!BQ18*Assumptions!BQ21</f>
        <v>297360</v>
      </c>
      <c r="BR11" s="24">
        <f>'Revenue Buildup'!BR18*Assumptions!BR21</f>
        <v>305280</v>
      </c>
      <c r="BS11" s="24">
        <f>'Revenue Buildup'!BS18*Assumptions!BS21</f>
        <v>305280</v>
      </c>
      <c r="BT11" s="24">
        <f>'Revenue Buildup'!BT18*Assumptions!BT21</f>
        <v>305280</v>
      </c>
      <c r="BU11" s="11"/>
      <c r="BV11" s="37">
        <f t="shared" si="3"/>
        <v>226800</v>
      </c>
      <c r="BW11" s="37">
        <f t="shared" si="3"/>
        <v>1003320</v>
      </c>
      <c r="BX11" s="37">
        <f t="shared" si="3"/>
        <v>2008800</v>
      </c>
      <c r="BY11" s="37">
        <f t="shared" si="3"/>
        <v>2820960</v>
      </c>
      <c r="BZ11" s="37">
        <f t="shared" si="3"/>
        <v>3516480</v>
      </c>
    </row>
    <row r="12" spans="1:78" x14ac:dyDescent="0.3">
      <c r="A12" s="30" t="str">
        <f>Assumptions!A22</f>
        <v>Security services (e.g., Cloudflare, Auth0)</v>
      </c>
      <c r="M12" s="37">
        <f>Assumptions!M22</f>
        <v>5000</v>
      </c>
      <c r="N12" s="37">
        <f>Assumptions!N22</f>
        <v>5338.9830508474579</v>
      </c>
      <c r="O12" s="37">
        <f>Assumptions!O22</f>
        <v>5677.9661016949158</v>
      </c>
      <c r="P12" s="37">
        <f>Assumptions!P22</f>
        <v>6016.9491525423737</v>
      </c>
      <c r="Q12" s="37">
        <f>Assumptions!Q22</f>
        <v>6355.9322033898316</v>
      </c>
      <c r="R12" s="37">
        <f>Assumptions!R22</f>
        <v>6694.9152542372894</v>
      </c>
      <c r="S12" s="37">
        <f>Assumptions!S22</f>
        <v>7033.8983050847473</v>
      </c>
      <c r="T12" s="37">
        <f>Assumptions!T22</f>
        <v>7372.8813559322052</v>
      </c>
      <c r="U12" s="37">
        <f>Assumptions!U22</f>
        <v>7711.8644067796631</v>
      </c>
      <c r="V12" s="37">
        <f>Assumptions!V22</f>
        <v>8050.847457627121</v>
      </c>
      <c r="W12" s="37">
        <f>Assumptions!W22</f>
        <v>8389.8305084745789</v>
      </c>
      <c r="X12" s="37">
        <f>Assumptions!X22</f>
        <v>8728.8135593220359</v>
      </c>
      <c r="Y12" s="37">
        <f>Assumptions!Y22</f>
        <v>9067.7966101694929</v>
      </c>
      <c r="Z12" s="37">
        <f>Assumptions!Z22</f>
        <v>9406.7796610169498</v>
      </c>
      <c r="AA12" s="37">
        <f>Assumptions!AA22</f>
        <v>9745.7627118644068</v>
      </c>
      <c r="AB12" s="37">
        <f>Assumptions!AB22</f>
        <v>10084.745762711864</v>
      </c>
      <c r="AC12" s="37">
        <f>Assumptions!AC22</f>
        <v>10423.728813559321</v>
      </c>
      <c r="AD12" s="37">
        <f>Assumptions!AD22</f>
        <v>10762.711864406778</v>
      </c>
      <c r="AE12" s="37">
        <f>Assumptions!AE22</f>
        <v>11101.694915254235</v>
      </c>
      <c r="AF12" s="37">
        <f>Assumptions!AF22</f>
        <v>11440.677966101692</v>
      </c>
      <c r="AG12" s="37">
        <f>Assumptions!AG22</f>
        <v>11779.661016949149</v>
      </c>
      <c r="AH12" s="37">
        <f>Assumptions!AH22</f>
        <v>12118.644067796606</v>
      </c>
      <c r="AI12" s="37">
        <f>Assumptions!AI22</f>
        <v>12457.627118644063</v>
      </c>
      <c r="AJ12" s="37">
        <f>Assumptions!AJ22</f>
        <v>12796.61016949152</v>
      </c>
      <c r="AK12" s="37">
        <f>Assumptions!AK22</f>
        <v>13135.593220338977</v>
      </c>
      <c r="AL12" s="37">
        <f>Assumptions!AL22</f>
        <v>13474.576271186434</v>
      </c>
      <c r="AM12" s="37">
        <f>Assumptions!AM22</f>
        <v>13813.559322033891</v>
      </c>
      <c r="AN12" s="37">
        <f>Assumptions!AN22</f>
        <v>14152.542372881348</v>
      </c>
      <c r="AO12" s="37">
        <f>Assumptions!AO22</f>
        <v>14491.525423728805</v>
      </c>
      <c r="AP12" s="37">
        <f>Assumptions!AP22</f>
        <v>14830.508474576262</v>
      </c>
      <c r="AQ12" s="37">
        <f>Assumptions!AQ22</f>
        <v>15169.491525423718</v>
      </c>
      <c r="AR12" s="37">
        <f>Assumptions!AR22</f>
        <v>15508.474576271175</v>
      </c>
      <c r="AS12" s="37">
        <f>Assumptions!AS22</f>
        <v>15847.457627118632</v>
      </c>
      <c r="AT12" s="37">
        <f>Assumptions!AT22</f>
        <v>16186.440677966089</v>
      </c>
      <c r="AU12" s="37">
        <f>Assumptions!AU22</f>
        <v>16525.423728813548</v>
      </c>
      <c r="AV12" s="37">
        <f>Assumptions!AV22</f>
        <v>16864.406779661007</v>
      </c>
      <c r="AW12" s="37">
        <f>Assumptions!AW22</f>
        <v>17203.389830508466</v>
      </c>
      <c r="AX12" s="37">
        <f>Assumptions!AX22</f>
        <v>17542.372881355925</v>
      </c>
      <c r="AY12" s="37">
        <f>Assumptions!AY22</f>
        <v>17881.355932203383</v>
      </c>
      <c r="AZ12" s="37">
        <f>Assumptions!AZ22</f>
        <v>18220.338983050842</v>
      </c>
      <c r="BA12" s="37">
        <f>Assumptions!BA22</f>
        <v>18559.322033898301</v>
      </c>
      <c r="BB12" s="37">
        <f>Assumptions!BB22</f>
        <v>18898.30508474576</v>
      </c>
      <c r="BC12" s="37">
        <f>Assumptions!BC22</f>
        <v>19237.288135593219</v>
      </c>
      <c r="BD12" s="37">
        <f>Assumptions!BD22</f>
        <v>19576.271186440677</v>
      </c>
      <c r="BE12" s="37">
        <f>Assumptions!BE22</f>
        <v>19915.254237288136</v>
      </c>
      <c r="BF12" s="37">
        <f>Assumptions!BF22</f>
        <v>20254.237288135595</v>
      </c>
      <c r="BG12" s="37">
        <f>Assumptions!BG22</f>
        <v>20593.220338983054</v>
      </c>
      <c r="BH12" s="37">
        <f>Assumptions!BH22</f>
        <v>20932.203389830513</v>
      </c>
      <c r="BI12" s="37">
        <f>Assumptions!BI22</f>
        <v>21271.186440677971</v>
      </c>
      <c r="BJ12" s="37">
        <f>Assumptions!BJ22</f>
        <v>21610.16949152543</v>
      </c>
      <c r="BK12" s="37">
        <f>Assumptions!BK22</f>
        <v>21949.152542372889</v>
      </c>
      <c r="BL12" s="37">
        <f>Assumptions!BL22</f>
        <v>22288.135593220348</v>
      </c>
      <c r="BM12" s="37">
        <f>Assumptions!BM22</f>
        <v>22627.118644067807</v>
      </c>
      <c r="BN12" s="37">
        <f>Assumptions!BN22</f>
        <v>22966.101694915265</v>
      </c>
      <c r="BO12" s="37">
        <f>Assumptions!BO22</f>
        <v>23305.084745762724</v>
      </c>
      <c r="BP12" s="37">
        <f>Assumptions!BP22</f>
        <v>23644.067796610183</v>
      </c>
      <c r="BQ12" s="37">
        <f>Assumptions!BQ22</f>
        <v>23983.050847457642</v>
      </c>
      <c r="BR12" s="37">
        <f>Assumptions!BR22</f>
        <v>24322.033898305101</v>
      </c>
      <c r="BS12" s="37">
        <f>Assumptions!BS22</f>
        <v>24661.016949152559</v>
      </c>
      <c r="BT12" s="37">
        <f>Assumptions!BT22</f>
        <v>25000.000000000018</v>
      </c>
      <c r="BU12" s="11"/>
      <c r="BV12" s="37">
        <f t="shared" si="3"/>
        <v>82372.881355932215</v>
      </c>
      <c r="BW12" s="37">
        <f t="shared" si="3"/>
        <v>131186.44067796608</v>
      </c>
      <c r="BX12" s="37">
        <f t="shared" si="3"/>
        <v>179999.99999999988</v>
      </c>
      <c r="BY12" s="37">
        <f t="shared" si="3"/>
        <v>228813.55932203389</v>
      </c>
      <c r="BZ12" s="37">
        <f t="shared" si="3"/>
        <v>277627.1186440679</v>
      </c>
    </row>
    <row r="13" spans="1:78" x14ac:dyDescent="0.3">
      <c r="A13" s="29" t="str">
        <f>Assumptions!A23</f>
        <v>Headcount</v>
      </c>
      <c r="BU13" s="11"/>
    </row>
    <row r="14" spans="1:78" x14ac:dyDescent="0.3">
      <c r="A14" t="str">
        <f>Assumptions!A24</f>
        <v>Customer Support</v>
      </c>
      <c r="C14" s="65" t="s">
        <v>76</v>
      </c>
      <c r="F14" s="25" t="str">
        <f>Assumptions!F24</f>
        <v>Account/Customer support</v>
      </c>
      <c r="G14" s="27">
        <f>Assumptions!G24</f>
        <v>40</v>
      </c>
      <c r="H14" s="27">
        <f>Assumptions!H24</f>
        <v>40</v>
      </c>
      <c r="M14" s="231">
        <f>Assumptions!M24</f>
        <v>40</v>
      </c>
      <c r="N14" s="231">
        <f>Assumptions!N24</f>
        <v>40</v>
      </c>
      <c r="O14" s="231">
        <f>Assumptions!O24</f>
        <v>40</v>
      </c>
      <c r="P14" s="231">
        <f>Assumptions!P24</f>
        <v>40</v>
      </c>
      <c r="Q14" s="231">
        <f>Assumptions!Q24</f>
        <v>40</v>
      </c>
      <c r="R14" s="231">
        <f>Assumptions!R24</f>
        <v>40</v>
      </c>
      <c r="S14" s="231">
        <f>Assumptions!S24</f>
        <v>40</v>
      </c>
      <c r="T14" s="231">
        <f>Assumptions!T24</f>
        <v>40</v>
      </c>
      <c r="U14" s="231">
        <f>Assumptions!U24</f>
        <v>40</v>
      </c>
      <c r="V14" s="231">
        <f>Assumptions!V24</f>
        <v>40</v>
      </c>
      <c r="W14" s="231">
        <f>Assumptions!W24</f>
        <v>40</v>
      </c>
      <c r="X14" s="231">
        <f>Assumptions!X24</f>
        <v>40</v>
      </c>
      <c r="Y14" s="231">
        <f>Assumptions!Y24</f>
        <v>40</v>
      </c>
      <c r="Z14" s="231">
        <f>Assumptions!Z24</f>
        <v>40</v>
      </c>
      <c r="AA14" s="231">
        <f>Assumptions!AA24</f>
        <v>40</v>
      </c>
      <c r="AB14" s="231">
        <f>Assumptions!AB24</f>
        <v>40</v>
      </c>
      <c r="AC14" s="231">
        <f>Assumptions!AC24</f>
        <v>40</v>
      </c>
      <c r="AD14" s="231">
        <f>Assumptions!AD24</f>
        <v>40</v>
      </c>
      <c r="AE14" s="231">
        <f>Assumptions!AE24</f>
        <v>40</v>
      </c>
      <c r="AF14" s="231">
        <f>Assumptions!AF24</f>
        <v>40</v>
      </c>
      <c r="AG14" s="231">
        <f>Assumptions!AG24</f>
        <v>40</v>
      </c>
      <c r="AH14" s="231">
        <f>Assumptions!AH24</f>
        <v>40</v>
      </c>
      <c r="AI14" s="231">
        <f>Assumptions!AI24</f>
        <v>40</v>
      </c>
      <c r="AJ14" s="231">
        <f>Assumptions!AJ24</f>
        <v>40</v>
      </c>
      <c r="AK14" s="231">
        <f>Assumptions!AK24</f>
        <v>40</v>
      </c>
      <c r="AL14" s="231">
        <f>Assumptions!AL24</f>
        <v>40</v>
      </c>
      <c r="AM14" s="231">
        <f>Assumptions!AM24</f>
        <v>40</v>
      </c>
      <c r="AN14" s="231">
        <f>Assumptions!AN24</f>
        <v>40</v>
      </c>
      <c r="AO14" s="231">
        <f>Assumptions!AO24</f>
        <v>40</v>
      </c>
      <c r="AP14" s="231">
        <f>Assumptions!AP24</f>
        <v>40</v>
      </c>
      <c r="AQ14" s="231">
        <f>Assumptions!AQ24</f>
        <v>40</v>
      </c>
      <c r="AR14" s="231">
        <f>Assumptions!AR24</f>
        <v>40</v>
      </c>
      <c r="AS14" s="231">
        <f>Assumptions!AS24</f>
        <v>40</v>
      </c>
      <c r="AT14" s="231">
        <f>Assumptions!AT24</f>
        <v>40</v>
      </c>
      <c r="AU14" s="231">
        <f>Assumptions!AU24</f>
        <v>40</v>
      </c>
      <c r="AV14" s="231">
        <f>Assumptions!AV24</f>
        <v>40</v>
      </c>
      <c r="AW14" s="231">
        <f>Assumptions!AW24</f>
        <v>40</v>
      </c>
      <c r="AX14" s="231">
        <f>Assumptions!AX24</f>
        <v>40</v>
      </c>
      <c r="AY14" s="231">
        <f>Assumptions!AY24</f>
        <v>40</v>
      </c>
      <c r="AZ14" s="231">
        <f>Assumptions!AZ24</f>
        <v>40</v>
      </c>
      <c r="BA14" s="231">
        <f>Assumptions!BA24</f>
        <v>40</v>
      </c>
      <c r="BB14" s="231">
        <f>Assumptions!BB24</f>
        <v>40</v>
      </c>
      <c r="BC14" s="231">
        <f>Assumptions!BC24</f>
        <v>40</v>
      </c>
      <c r="BD14" s="231">
        <f>Assumptions!BD24</f>
        <v>40</v>
      </c>
      <c r="BE14" s="231">
        <f>Assumptions!BE24</f>
        <v>40</v>
      </c>
      <c r="BF14" s="231">
        <f>Assumptions!BF24</f>
        <v>40</v>
      </c>
      <c r="BG14" s="231">
        <f>Assumptions!BG24</f>
        <v>40</v>
      </c>
      <c r="BH14" s="231">
        <f>Assumptions!BH24</f>
        <v>40</v>
      </c>
      <c r="BI14" s="231">
        <f>Assumptions!BI24</f>
        <v>40</v>
      </c>
      <c r="BJ14" s="231">
        <f>Assumptions!BJ24</f>
        <v>40</v>
      </c>
      <c r="BK14" s="231">
        <f>Assumptions!BK24</f>
        <v>40</v>
      </c>
      <c r="BL14" s="231">
        <f>Assumptions!BL24</f>
        <v>40</v>
      </c>
      <c r="BM14" s="231">
        <f>Assumptions!BM24</f>
        <v>40</v>
      </c>
      <c r="BN14" s="231">
        <f>Assumptions!BN24</f>
        <v>40</v>
      </c>
      <c r="BO14" s="231">
        <f>Assumptions!BO24</f>
        <v>40</v>
      </c>
      <c r="BP14" s="231">
        <f>Assumptions!BP24</f>
        <v>40</v>
      </c>
      <c r="BQ14" s="231">
        <f>Assumptions!BQ24</f>
        <v>40</v>
      </c>
      <c r="BR14" s="231">
        <f>Assumptions!BR24</f>
        <v>40</v>
      </c>
      <c r="BS14" s="231">
        <f>Assumptions!BS24</f>
        <v>40</v>
      </c>
      <c r="BT14" s="231">
        <f>Assumptions!BT24</f>
        <v>40</v>
      </c>
      <c r="BU14" s="11"/>
    </row>
    <row r="15" spans="1:78" x14ac:dyDescent="0.3">
      <c r="A15" t="s">
        <v>78</v>
      </c>
      <c r="C15" s="65"/>
      <c r="M15" s="47">
        <f>ROUND('Revenue Buildup'!M10/Assumptions!M24,0)</f>
        <v>1</v>
      </c>
      <c r="N15" s="47">
        <f>ROUND('Revenue Buildup'!N10/Assumptions!N24,0)</f>
        <v>1</v>
      </c>
      <c r="O15" s="47">
        <f>ROUND('Revenue Buildup'!O10/Assumptions!O24,0)</f>
        <v>1</v>
      </c>
      <c r="P15" s="47">
        <f>ROUND('Revenue Buildup'!P10/Assumptions!P24,0)</f>
        <v>1</v>
      </c>
      <c r="Q15" s="47">
        <f>ROUND('Revenue Buildup'!Q10/Assumptions!Q24,0)</f>
        <v>2</v>
      </c>
      <c r="R15" s="47">
        <f>ROUND('Revenue Buildup'!R10/Assumptions!R24,0)</f>
        <v>2</v>
      </c>
      <c r="S15" s="47">
        <f>ROUND('Revenue Buildup'!S10/Assumptions!S24,0)</f>
        <v>2</v>
      </c>
      <c r="T15" s="47">
        <f>ROUND('Revenue Buildup'!T10/Assumptions!T24,0)</f>
        <v>2</v>
      </c>
      <c r="U15" s="47">
        <f>ROUND('Revenue Buildup'!U10/Assumptions!U24,0)</f>
        <v>3</v>
      </c>
      <c r="V15" s="47">
        <f>ROUND('Revenue Buildup'!V10/Assumptions!V24,0)</f>
        <v>3</v>
      </c>
      <c r="W15" s="47">
        <f>ROUND('Revenue Buildup'!W10/Assumptions!W24,0)</f>
        <v>4</v>
      </c>
      <c r="X15" s="47">
        <f>ROUND('Revenue Buildup'!X10/Assumptions!X24,0)</f>
        <v>4</v>
      </c>
      <c r="Y15" s="47">
        <f>ROUND('Revenue Buildup'!Y10/Assumptions!Y24,0)</f>
        <v>5</v>
      </c>
      <c r="Z15" s="47">
        <f>ROUND('Revenue Buildup'!Z10/Assumptions!Z24,0)</f>
        <v>5</v>
      </c>
      <c r="AA15" s="47">
        <f>ROUND('Revenue Buildup'!AA10/Assumptions!AA24,0)</f>
        <v>6</v>
      </c>
      <c r="AB15" s="47">
        <f>ROUND('Revenue Buildup'!AB10/Assumptions!AB24,0)</f>
        <v>6</v>
      </c>
      <c r="AC15" s="47">
        <f>ROUND('Revenue Buildup'!AC10/Assumptions!AC24,0)</f>
        <v>7</v>
      </c>
      <c r="AD15" s="47">
        <f>ROUND('Revenue Buildup'!AD10/Assumptions!AD24,0)</f>
        <v>7</v>
      </c>
      <c r="AE15" s="47">
        <f>ROUND('Revenue Buildup'!AE10/Assumptions!AE24,0)</f>
        <v>9</v>
      </c>
      <c r="AF15" s="47">
        <f>ROUND('Revenue Buildup'!AF10/Assumptions!AF24,0)</f>
        <v>10</v>
      </c>
      <c r="AG15" s="47">
        <f>ROUND('Revenue Buildup'!AG10/Assumptions!AG24,0)</f>
        <v>11</v>
      </c>
      <c r="AH15" s="47">
        <f>ROUND('Revenue Buildup'!AH10/Assumptions!AH24,0)</f>
        <v>12</v>
      </c>
      <c r="AI15" s="47">
        <f>ROUND('Revenue Buildup'!AI10/Assumptions!AI24,0)</f>
        <v>13</v>
      </c>
      <c r="AJ15" s="47">
        <f>ROUND('Revenue Buildup'!AJ10/Assumptions!AJ24,0)</f>
        <v>15</v>
      </c>
      <c r="AK15" s="47">
        <f>ROUND('Revenue Buildup'!AK10/Assumptions!AK24,0)</f>
        <v>16</v>
      </c>
      <c r="AL15" s="47">
        <f>ROUND('Revenue Buildup'!AL10/Assumptions!AL24,0)</f>
        <v>17</v>
      </c>
      <c r="AM15" s="47">
        <f>ROUND('Revenue Buildup'!AM10/Assumptions!AM24,0)</f>
        <v>18</v>
      </c>
      <c r="AN15" s="47">
        <f>ROUND('Revenue Buildup'!AN10/Assumptions!AN24,0)</f>
        <v>20</v>
      </c>
      <c r="AO15" s="47">
        <f>ROUND('Revenue Buildup'!AO10/Assumptions!AO24,0)</f>
        <v>21</v>
      </c>
      <c r="AP15" s="47">
        <f>ROUND('Revenue Buildup'!AP10/Assumptions!AP24,0)</f>
        <v>22</v>
      </c>
      <c r="AQ15" s="47">
        <f>ROUND('Revenue Buildup'!AQ10/Assumptions!AQ24,0)</f>
        <v>24</v>
      </c>
      <c r="AR15" s="47">
        <f>ROUND('Revenue Buildup'!AR10/Assumptions!AR24,0)</f>
        <v>25</v>
      </c>
      <c r="AS15" s="47">
        <f>ROUND('Revenue Buildup'!AS10/Assumptions!AS24,0)</f>
        <v>26</v>
      </c>
      <c r="AT15" s="47">
        <f>ROUND('Revenue Buildup'!AT10/Assumptions!AT24,0)</f>
        <v>27</v>
      </c>
      <c r="AU15" s="47">
        <f>ROUND('Revenue Buildup'!AU10/Assumptions!AU24,0)</f>
        <v>28</v>
      </c>
      <c r="AV15" s="47">
        <f>ROUND('Revenue Buildup'!AV10/Assumptions!AV24,0)</f>
        <v>30</v>
      </c>
      <c r="AW15" s="47">
        <f>ROUND('Revenue Buildup'!AW10/Assumptions!AW24,0)</f>
        <v>31</v>
      </c>
      <c r="AX15" s="47">
        <f>ROUND('Revenue Buildup'!AX10/Assumptions!AX24,0)</f>
        <v>32</v>
      </c>
      <c r="AY15" s="47">
        <f>ROUND('Revenue Buildup'!AY10/Assumptions!AY24,0)</f>
        <v>34</v>
      </c>
      <c r="AZ15" s="47">
        <f>ROUND('Revenue Buildup'!AZ10/Assumptions!AZ24,0)</f>
        <v>35</v>
      </c>
      <c r="BA15" s="47">
        <f>ROUND('Revenue Buildup'!BA10/Assumptions!BA24,0)</f>
        <v>37</v>
      </c>
      <c r="BB15" s="47">
        <f>ROUND('Revenue Buildup'!BB10/Assumptions!BB24,0)</f>
        <v>38</v>
      </c>
      <c r="BC15" s="47">
        <f>ROUND('Revenue Buildup'!BC10/Assumptions!BC24,0)</f>
        <v>40</v>
      </c>
      <c r="BD15" s="47">
        <f>ROUND('Revenue Buildup'!BD10/Assumptions!BD24,0)</f>
        <v>41</v>
      </c>
      <c r="BE15" s="47">
        <f>ROUND('Revenue Buildup'!BE10/Assumptions!BE24,0)</f>
        <v>43</v>
      </c>
      <c r="BF15" s="47">
        <f>ROUND('Revenue Buildup'!BF10/Assumptions!BF24,0)</f>
        <v>45</v>
      </c>
      <c r="BG15" s="47">
        <f>ROUND('Revenue Buildup'!BG10/Assumptions!BG24,0)</f>
        <v>46</v>
      </c>
      <c r="BH15" s="47">
        <f>ROUND('Revenue Buildup'!BH10/Assumptions!BH24,0)</f>
        <v>48</v>
      </c>
      <c r="BI15" s="47">
        <f>ROUND('Revenue Buildup'!BI10/Assumptions!BI24,0)</f>
        <v>49</v>
      </c>
      <c r="BJ15" s="47">
        <f>ROUND('Revenue Buildup'!BJ10/Assumptions!BJ24,0)</f>
        <v>51</v>
      </c>
      <c r="BK15" s="47">
        <f>ROUND('Revenue Buildup'!BK10/Assumptions!BK24,0)</f>
        <v>53</v>
      </c>
      <c r="BL15" s="47">
        <f>ROUND('Revenue Buildup'!BL10/Assumptions!BL24,0)</f>
        <v>55</v>
      </c>
      <c r="BM15" s="47">
        <f>ROUND('Revenue Buildup'!BM10/Assumptions!BM24,0)</f>
        <v>57</v>
      </c>
      <c r="BN15" s="47">
        <f>ROUND('Revenue Buildup'!BN10/Assumptions!BN24,0)</f>
        <v>58</v>
      </c>
      <c r="BO15" s="47">
        <f>ROUND('Revenue Buildup'!BO10/Assumptions!BO24,0)</f>
        <v>60</v>
      </c>
      <c r="BP15" s="47">
        <f>ROUND('Revenue Buildup'!BP10/Assumptions!BP24,0)</f>
        <v>62</v>
      </c>
      <c r="BQ15" s="47">
        <f>ROUND('Revenue Buildup'!BQ10/Assumptions!BQ24,0)</f>
        <v>64</v>
      </c>
      <c r="BR15" s="47">
        <f>ROUND('Revenue Buildup'!BR10/Assumptions!BR24,0)</f>
        <v>66</v>
      </c>
      <c r="BS15" s="47">
        <f>ROUND('Revenue Buildup'!BS10/Assumptions!BS24,0)</f>
        <v>68</v>
      </c>
      <c r="BT15" s="47">
        <f>ROUND('Revenue Buildup'!BT10/Assumptions!BT24,0)</f>
        <v>70</v>
      </c>
      <c r="BU15" s="11"/>
    </row>
    <row r="16" spans="1:78" x14ac:dyDescent="0.3">
      <c r="A16" s="29" t="s">
        <v>77</v>
      </c>
      <c r="C16" s="65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11"/>
    </row>
    <row r="17" spans="1:78" x14ac:dyDescent="0.3">
      <c r="A17" t="str">
        <f>Assumptions!A25</f>
        <v>Customer Support</v>
      </c>
      <c r="F17" s="25" t="str">
        <f>Assumptions!F25</f>
        <v>Monthly Salary/Headcount</v>
      </c>
      <c r="G17" s="42">
        <f>Assumptions!G25</f>
        <v>40000</v>
      </c>
      <c r="H17" s="44">
        <v>0.1</v>
      </c>
      <c r="I17" t="str">
        <f>Assumptions!I25</f>
        <v>Annual Increment</v>
      </c>
      <c r="M17" s="24">
        <f t="shared" ref="M17:AR17" si="5">(M15*$G$17)*(1+$H$17)^(M$3-1)</f>
        <v>40000</v>
      </c>
      <c r="N17" s="24">
        <f t="shared" si="5"/>
        <v>40000</v>
      </c>
      <c r="O17" s="24">
        <f t="shared" si="5"/>
        <v>40000</v>
      </c>
      <c r="P17" s="24">
        <f t="shared" si="5"/>
        <v>40000</v>
      </c>
      <c r="Q17" s="24">
        <f t="shared" si="5"/>
        <v>80000</v>
      </c>
      <c r="R17" s="24">
        <f t="shared" si="5"/>
        <v>80000</v>
      </c>
      <c r="S17" s="24">
        <f t="shared" si="5"/>
        <v>80000</v>
      </c>
      <c r="T17" s="24">
        <f t="shared" si="5"/>
        <v>80000</v>
      </c>
      <c r="U17" s="24">
        <f t="shared" si="5"/>
        <v>120000</v>
      </c>
      <c r="V17" s="24">
        <f t="shared" si="5"/>
        <v>120000</v>
      </c>
      <c r="W17" s="24">
        <f t="shared" si="5"/>
        <v>160000</v>
      </c>
      <c r="X17" s="24">
        <f t="shared" si="5"/>
        <v>160000</v>
      </c>
      <c r="Y17" s="24">
        <f t="shared" si="5"/>
        <v>220000.00000000003</v>
      </c>
      <c r="Z17" s="24">
        <f t="shared" si="5"/>
        <v>220000.00000000003</v>
      </c>
      <c r="AA17" s="24">
        <f t="shared" si="5"/>
        <v>264000</v>
      </c>
      <c r="AB17" s="24">
        <f t="shared" si="5"/>
        <v>264000</v>
      </c>
      <c r="AC17" s="24">
        <f t="shared" si="5"/>
        <v>308000</v>
      </c>
      <c r="AD17" s="24">
        <f t="shared" si="5"/>
        <v>308000</v>
      </c>
      <c r="AE17" s="24">
        <f t="shared" si="5"/>
        <v>396000.00000000006</v>
      </c>
      <c r="AF17" s="24">
        <f t="shared" si="5"/>
        <v>440000.00000000006</v>
      </c>
      <c r="AG17" s="24">
        <f t="shared" si="5"/>
        <v>484000.00000000006</v>
      </c>
      <c r="AH17" s="24">
        <f t="shared" si="5"/>
        <v>528000</v>
      </c>
      <c r="AI17" s="24">
        <f t="shared" si="5"/>
        <v>572000</v>
      </c>
      <c r="AJ17" s="24">
        <f t="shared" si="5"/>
        <v>660000</v>
      </c>
      <c r="AK17" s="24">
        <f t="shared" si="5"/>
        <v>774400.00000000012</v>
      </c>
      <c r="AL17" s="24">
        <f t="shared" si="5"/>
        <v>822800.00000000012</v>
      </c>
      <c r="AM17" s="24">
        <f t="shared" si="5"/>
        <v>871200.00000000012</v>
      </c>
      <c r="AN17" s="24">
        <f t="shared" si="5"/>
        <v>968000.00000000012</v>
      </c>
      <c r="AO17" s="24">
        <f t="shared" si="5"/>
        <v>1016400.0000000001</v>
      </c>
      <c r="AP17" s="24">
        <f t="shared" si="5"/>
        <v>1064800.0000000002</v>
      </c>
      <c r="AQ17" s="24">
        <f t="shared" si="5"/>
        <v>1161600.0000000002</v>
      </c>
      <c r="AR17" s="24">
        <f t="shared" si="5"/>
        <v>1210000.0000000002</v>
      </c>
      <c r="AS17" s="24">
        <f t="shared" ref="AS17:BT17" si="6">(AS15*$G$17)*(1+$H$17)^(AS$3-1)</f>
        <v>1258400.0000000002</v>
      </c>
      <c r="AT17" s="24">
        <f t="shared" si="6"/>
        <v>1306800.0000000002</v>
      </c>
      <c r="AU17" s="24">
        <f t="shared" si="6"/>
        <v>1355200.0000000002</v>
      </c>
      <c r="AV17" s="24">
        <f t="shared" si="6"/>
        <v>1452000.0000000002</v>
      </c>
      <c r="AW17" s="24">
        <f t="shared" si="6"/>
        <v>1650440.0000000005</v>
      </c>
      <c r="AX17" s="24">
        <f t="shared" si="6"/>
        <v>1703680.0000000005</v>
      </c>
      <c r="AY17" s="24">
        <f t="shared" si="6"/>
        <v>1810160.0000000005</v>
      </c>
      <c r="AZ17" s="24">
        <f t="shared" si="6"/>
        <v>1863400.0000000005</v>
      </c>
      <c r="BA17" s="24">
        <f t="shared" si="6"/>
        <v>1969880.0000000007</v>
      </c>
      <c r="BB17" s="24">
        <f t="shared" si="6"/>
        <v>2023120.0000000007</v>
      </c>
      <c r="BC17" s="24">
        <f t="shared" si="6"/>
        <v>2129600.0000000005</v>
      </c>
      <c r="BD17" s="24">
        <f t="shared" si="6"/>
        <v>2182840.0000000005</v>
      </c>
      <c r="BE17" s="24">
        <f t="shared" si="6"/>
        <v>2289320.0000000005</v>
      </c>
      <c r="BF17" s="24">
        <f t="shared" si="6"/>
        <v>2395800.0000000009</v>
      </c>
      <c r="BG17" s="24">
        <f t="shared" si="6"/>
        <v>2449040.0000000009</v>
      </c>
      <c r="BH17" s="24">
        <f t="shared" si="6"/>
        <v>2555520.0000000009</v>
      </c>
      <c r="BI17" s="24">
        <f t="shared" si="6"/>
        <v>2869636.0000000009</v>
      </c>
      <c r="BJ17" s="24">
        <f t="shared" si="6"/>
        <v>2986764.0000000009</v>
      </c>
      <c r="BK17" s="24">
        <f t="shared" si="6"/>
        <v>3103892.0000000009</v>
      </c>
      <c r="BL17" s="24">
        <f t="shared" si="6"/>
        <v>3221020.0000000009</v>
      </c>
      <c r="BM17" s="24">
        <f t="shared" si="6"/>
        <v>3338148.0000000009</v>
      </c>
      <c r="BN17" s="24">
        <f t="shared" si="6"/>
        <v>3396712.0000000009</v>
      </c>
      <c r="BO17" s="24">
        <f t="shared" si="6"/>
        <v>3513840.0000000009</v>
      </c>
      <c r="BP17" s="24">
        <f t="shared" si="6"/>
        <v>3630968.0000000009</v>
      </c>
      <c r="BQ17" s="24">
        <f t="shared" si="6"/>
        <v>3748096.0000000009</v>
      </c>
      <c r="BR17" s="24">
        <f t="shared" si="6"/>
        <v>3865224.0000000009</v>
      </c>
      <c r="BS17" s="24">
        <f t="shared" si="6"/>
        <v>3982352.0000000009</v>
      </c>
      <c r="BT17" s="24">
        <f t="shared" si="6"/>
        <v>4099480.0000000009</v>
      </c>
      <c r="BU17" s="11"/>
      <c r="BV17" s="37">
        <f t="shared" ref="BV17:BZ18" si="7">SUMIF($M$3:$BT$3,BV$3,$M17:$BT17)</f>
        <v>1040000</v>
      </c>
      <c r="BW17" s="37">
        <f t="shared" si="7"/>
        <v>4664000</v>
      </c>
      <c r="BX17" s="37">
        <f t="shared" si="7"/>
        <v>13261600.000000002</v>
      </c>
      <c r="BY17" s="37">
        <f t="shared" si="7"/>
        <v>25022800.000000004</v>
      </c>
      <c r="BZ17" s="37">
        <f t="shared" si="7"/>
        <v>41756132.000000007</v>
      </c>
    </row>
    <row r="18" spans="1:78" x14ac:dyDescent="0.3">
      <c r="A18" s="22" t="s">
        <v>65</v>
      </c>
      <c r="M18" s="49">
        <f>SUM(M7:M9,M11:M12,M17)</f>
        <v>114780</v>
      </c>
      <c r="N18" s="49">
        <f t="shared" ref="N18:BT18" si="8">SUM(N7:N9,N11:N12,N17)</f>
        <v>124446.44067796611</v>
      </c>
      <c r="O18" s="49">
        <f t="shared" si="8"/>
        <v>134112.88135593222</v>
      </c>
      <c r="P18" s="49">
        <f t="shared" si="8"/>
        <v>147379.32203389832</v>
      </c>
      <c r="Q18" s="49">
        <f t="shared" si="8"/>
        <v>197045.76271186443</v>
      </c>
      <c r="R18" s="49">
        <f t="shared" si="8"/>
        <v>206712.20338983054</v>
      </c>
      <c r="S18" s="49">
        <f t="shared" si="8"/>
        <v>228978.64406779662</v>
      </c>
      <c r="T18" s="49">
        <f t="shared" si="8"/>
        <v>238645.08474576275</v>
      </c>
      <c r="U18" s="49">
        <f t="shared" si="8"/>
        <v>288311.52542372886</v>
      </c>
      <c r="V18" s="49">
        <f t="shared" si="8"/>
        <v>308777.96610169497</v>
      </c>
      <c r="W18" s="49">
        <f t="shared" si="8"/>
        <v>358444.40677966108</v>
      </c>
      <c r="X18" s="49">
        <f t="shared" si="8"/>
        <v>368110.84745762718</v>
      </c>
      <c r="Y18" s="49">
        <f t="shared" si="8"/>
        <v>447857.28813559329</v>
      </c>
      <c r="Z18" s="49">
        <f t="shared" si="8"/>
        <v>457523.72881355934</v>
      </c>
      <c r="AA18" s="49">
        <f t="shared" si="8"/>
        <v>511190.16949152539</v>
      </c>
      <c r="AB18" s="49">
        <f t="shared" si="8"/>
        <v>530216.6101694915</v>
      </c>
      <c r="AC18" s="49">
        <f t="shared" si="8"/>
        <v>583883.05084745761</v>
      </c>
      <c r="AD18" s="49">
        <f t="shared" si="8"/>
        <v>593549.49152542371</v>
      </c>
      <c r="AE18" s="49">
        <f t="shared" si="8"/>
        <v>747015.93220338994</v>
      </c>
      <c r="AF18" s="49">
        <f t="shared" si="8"/>
        <v>800682.37288135593</v>
      </c>
      <c r="AG18" s="49">
        <f t="shared" si="8"/>
        <v>854348.81355932204</v>
      </c>
      <c r="AH18" s="49">
        <f t="shared" si="8"/>
        <v>925655.25423728803</v>
      </c>
      <c r="AI18" s="49">
        <f t="shared" si="8"/>
        <v>979321.69491525413</v>
      </c>
      <c r="AJ18" s="49">
        <f t="shared" si="8"/>
        <v>1076988.1355932201</v>
      </c>
      <c r="AK18" s="49">
        <f t="shared" si="8"/>
        <v>1210774.5762711866</v>
      </c>
      <c r="AL18" s="49">
        <f t="shared" si="8"/>
        <v>1268841.0169491526</v>
      </c>
      <c r="AM18" s="49">
        <f t="shared" si="8"/>
        <v>1326907.4576271186</v>
      </c>
      <c r="AN18" s="49">
        <f t="shared" si="8"/>
        <v>1441293.8983050846</v>
      </c>
      <c r="AO18" s="49">
        <f t="shared" si="8"/>
        <v>1499360.3389830508</v>
      </c>
      <c r="AP18" s="49">
        <f t="shared" si="8"/>
        <v>1557426.779661017</v>
      </c>
      <c r="AQ18" s="49">
        <f t="shared" si="8"/>
        <v>1708173.220338983</v>
      </c>
      <c r="AR18" s="49">
        <f t="shared" si="8"/>
        <v>1766239.6610169492</v>
      </c>
      <c r="AS18" s="49">
        <f t="shared" si="8"/>
        <v>1824306.1016949154</v>
      </c>
      <c r="AT18" s="49">
        <f t="shared" si="8"/>
        <v>1892452.5423728814</v>
      </c>
      <c r="AU18" s="49">
        <f t="shared" si="8"/>
        <v>1950518.9830508474</v>
      </c>
      <c r="AV18" s="49">
        <f t="shared" si="8"/>
        <v>2056985.4237288134</v>
      </c>
      <c r="AW18" s="49">
        <f t="shared" si="8"/>
        <v>2289571.8644067799</v>
      </c>
      <c r="AX18" s="49">
        <f t="shared" si="8"/>
        <v>2352478.3050847463</v>
      </c>
      <c r="AY18" s="49">
        <f t="shared" si="8"/>
        <v>2468624.7457627123</v>
      </c>
      <c r="AZ18" s="49">
        <f t="shared" si="8"/>
        <v>2539091.1864406783</v>
      </c>
      <c r="BA18" s="49">
        <f t="shared" si="8"/>
        <v>2655237.6271186448</v>
      </c>
      <c r="BB18" s="49">
        <f t="shared" si="8"/>
        <v>2718144.0677966108</v>
      </c>
      <c r="BC18" s="49">
        <f t="shared" si="8"/>
        <v>2842210.5084745763</v>
      </c>
      <c r="BD18" s="49">
        <f t="shared" si="8"/>
        <v>2905116.9491525427</v>
      </c>
      <c r="BE18" s="49">
        <f t="shared" si="8"/>
        <v>3021263.3898305087</v>
      </c>
      <c r="BF18" s="49">
        <f t="shared" si="8"/>
        <v>3144969.8305084752</v>
      </c>
      <c r="BG18" s="49">
        <f t="shared" si="8"/>
        <v>3207876.2711864412</v>
      </c>
      <c r="BH18" s="49">
        <f t="shared" si="8"/>
        <v>3324022.7118644076</v>
      </c>
      <c r="BI18" s="49">
        <f t="shared" si="8"/>
        <v>3680925.1525423736</v>
      </c>
      <c r="BJ18" s="49">
        <f t="shared" si="8"/>
        <v>3807719.5932203396</v>
      </c>
      <c r="BK18" s="49">
        <f t="shared" si="8"/>
        <v>3934514.0338983056</v>
      </c>
      <c r="BL18" s="49">
        <f t="shared" si="8"/>
        <v>4071388.4745762721</v>
      </c>
      <c r="BM18" s="49">
        <f t="shared" si="8"/>
        <v>4198182.9152542381</v>
      </c>
      <c r="BN18" s="49">
        <f t="shared" si="8"/>
        <v>4266413.3559322041</v>
      </c>
      <c r="BO18" s="49">
        <f t="shared" si="8"/>
        <v>4400767.79661017</v>
      </c>
      <c r="BP18" s="49">
        <f t="shared" si="8"/>
        <v>4527562.237288136</v>
      </c>
      <c r="BQ18" s="49">
        <f t="shared" si="8"/>
        <v>4654356.677966102</v>
      </c>
      <c r="BR18" s="49">
        <f t="shared" si="8"/>
        <v>4789071.118644068</v>
      </c>
      <c r="BS18" s="49">
        <f t="shared" si="8"/>
        <v>4915865.5593220349</v>
      </c>
      <c r="BT18" s="49">
        <f t="shared" si="8"/>
        <v>5042660.0000000009</v>
      </c>
      <c r="BU18" s="11"/>
      <c r="BV18" s="130">
        <f t="shared" si="7"/>
        <v>2715745.0847457633</v>
      </c>
      <c r="BW18" s="130">
        <f t="shared" si="7"/>
        <v>8508232.5423728805</v>
      </c>
      <c r="BX18" s="130">
        <f t="shared" si="7"/>
        <v>19503279.999999996</v>
      </c>
      <c r="BY18" s="130">
        <f t="shared" si="7"/>
        <v>33468607.457627121</v>
      </c>
      <c r="BZ18" s="130">
        <f t="shared" si="7"/>
        <v>52289426.915254243</v>
      </c>
    </row>
    <row r="19" spans="1:78" x14ac:dyDescent="0.3">
      <c r="A19" s="48" t="str">
        <f>Assumptions!A26</f>
        <v>Operating Expense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 spans="1:78" x14ac:dyDescent="0.3">
      <c r="A20" s="50" t="str">
        <f>Assumptions!A27</f>
        <v>Sales &amp; Marketing Expense</v>
      </c>
      <c r="B20" s="51"/>
      <c r="C20" s="51"/>
      <c r="D20" s="51"/>
      <c r="E20" s="51"/>
      <c r="F20" s="51"/>
      <c r="G20" s="51"/>
      <c r="H20" s="59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11"/>
      <c r="BV20" s="51"/>
      <c r="BW20" s="51"/>
      <c r="BX20" s="51"/>
      <c r="BY20" s="51"/>
      <c r="BZ20" s="51"/>
    </row>
    <row r="21" spans="1:78" x14ac:dyDescent="0.3">
      <c r="A21" s="29" t="str">
        <f>Assumptions!A28</f>
        <v>Sales Funnel</v>
      </c>
      <c r="BU21" s="11"/>
    </row>
    <row r="22" spans="1:78" x14ac:dyDescent="0.3">
      <c r="A22" s="30" t="str">
        <f>Assumptions!A29</f>
        <v>Advetising/Marketing Expense Type 1 SMBs Focused</v>
      </c>
      <c r="M22" s="37">
        <f>Assumptions!M29</f>
        <v>150000</v>
      </c>
      <c r="N22" s="37">
        <f>Assumptions!N29</f>
        <v>150000</v>
      </c>
      <c r="O22" s="37">
        <f>Assumptions!O29</f>
        <v>150000</v>
      </c>
      <c r="P22" s="37">
        <f>Assumptions!P29</f>
        <v>250000</v>
      </c>
      <c r="Q22" s="37">
        <f>Assumptions!Q29</f>
        <v>250000</v>
      </c>
      <c r="R22" s="37">
        <f>Assumptions!R29</f>
        <v>250000</v>
      </c>
      <c r="S22" s="37">
        <f>Assumptions!S29</f>
        <v>500000</v>
      </c>
      <c r="T22" s="37">
        <f>Assumptions!T29</f>
        <v>500000</v>
      </c>
      <c r="U22" s="37">
        <f>Assumptions!U29</f>
        <v>500000</v>
      </c>
      <c r="V22" s="37">
        <f>Assumptions!V29</f>
        <v>750000</v>
      </c>
      <c r="W22" s="37">
        <f>Assumptions!W29</f>
        <v>750000</v>
      </c>
      <c r="X22" s="37">
        <f>Assumptions!X29</f>
        <v>750000</v>
      </c>
      <c r="Y22" s="37">
        <f>Assumptions!Y29</f>
        <v>850000</v>
      </c>
      <c r="Z22" s="37">
        <f>Assumptions!Z29</f>
        <v>850000</v>
      </c>
      <c r="AA22" s="37">
        <f>Assumptions!AA29</f>
        <v>850000</v>
      </c>
      <c r="AB22" s="37">
        <f>Assumptions!AB29</f>
        <v>1000000</v>
      </c>
      <c r="AC22" s="37">
        <f>Assumptions!AC29</f>
        <v>1000000</v>
      </c>
      <c r="AD22" s="37">
        <f>Assumptions!AD29</f>
        <v>1000000</v>
      </c>
      <c r="AE22" s="37">
        <f>Assumptions!AE29</f>
        <v>2000000</v>
      </c>
      <c r="AF22" s="37">
        <f>Assumptions!AF29</f>
        <v>2000000</v>
      </c>
      <c r="AG22" s="37">
        <f>Assumptions!AG29</f>
        <v>2000000</v>
      </c>
      <c r="AH22" s="37">
        <f>Assumptions!AH29</f>
        <v>2200000</v>
      </c>
      <c r="AI22" s="37">
        <f>Assumptions!AI29</f>
        <v>2200000</v>
      </c>
      <c r="AJ22" s="37">
        <f>Assumptions!AJ29</f>
        <v>2200000</v>
      </c>
      <c r="AK22" s="37">
        <f>Assumptions!AK29</f>
        <v>2300000</v>
      </c>
      <c r="AL22" s="37">
        <f>Assumptions!AL29</f>
        <v>2300000</v>
      </c>
      <c r="AM22" s="37">
        <f>Assumptions!AM29</f>
        <v>2300000</v>
      </c>
      <c r="AN22" s="37">
        <f>Assumptions!AN29</f>
        <v>2400000</v>
      </c>
      <c r="AO22" s="37">
        <f>Assumptions!AO29</f>
        <v>2400000</v>
      </c>
      <c r="AP22" s="37">
        <f>Assumptions!AP29</f>
        <v>2400000</v>
      </c>
      <c r="AQ22" s="37">
        <f>Assumptions!AQ29</f>
        <v>2500000</v>
      </c>
      <c r="AR22" s="37">
        <f>Assumptions!AR29</f>
        <v>2500000</v>
      </c>
      <c r="AS22" s="37">
        <f>Assumptions!AS29</f>
        <v>2500000</v>
      </c>
      <c r="AT22" s="37">
        <f>Assumptions!AT29</f>
        <v>2600000</v>
      </c>
      <c r="AU22" s="37">
        <f>Assumptions!AU29</f>
        <v>2600000</v>
      </c>
      <c r="AV22" s="37">
        <f>Assumptions!AV29</f>
        <v>2600000</v>
      </c>
      <c r="AW22" s="37">
        <f>Assumptions!AW29</f>
        <v>3000000</v>
      </c>
      <c r="AX22" s="37">
        <f>Assumptions!AX29</f>
        <v>3000000</v>
      </c>
      <c r="AY22" s="37">
        <f>Assumptions!AY29</f>
        <v>3000000</v>
      </c>
      <c r="AZ22" s="37">
        <f>Assumptions!AZ29</f>
        <v>3100000</v>
      </c>
      <c r="BA22" s="37">
        <f>Assumptions!BA29</f>
        <v>3100000</v>
      </c>
      <c r="BB22" s="37">
        <f>Assumptions!BB29</f>
        <v>3100000</v>
      </c>
      <c r="BC22" s="37">
        <f>Assumptions!BC29</f>
        <v>3200000</v>
      </c>
      <c r="BD22" s="37">
        <f>Assumptions!BD29</f>
        <v>3200000</v>
      </c>
      <c r="BE22" s="37">
        <f>Assumptions!BE29</f>
        <v>3200000</v>
      </c>
      <c r="BF22" s="37">
        <f>Assumptions!BF29</f>
        <v>3300000</v>
      </c>
      <c r="BG22" s="37">
        <f>Assumptions!BG29</f>
        <v>3300000</v>
      </c>
      <c r="BH22" s="37">
        <f>Assumptions!BH29</f>
        <v>3300000</v>
      </c>
      <c r="BI22" s="37">
        <f>Assumptions!BI29</f>
        <v>3700000</v>
      </c>
      <c r="BJ22" s="37">
        <f>Assumptions!BJ29</f>
        <v>3700000</v>
      </c>
      <c r="BK22" s="37">
        <f>Assumptions!BK29</f>
        <v>3700000</v>
      </c>
      <c r="BL22" s="37">
        <f>Assumptions!BL29</f>
        <v>3800000</v>
      </c>
      <c r="BM22" s="37">
        <f>Assumptions!BM29</f>
        <v>3800000</v>
      </c>
      <c r="BN22" s="37">
        <f>Assumptions!BN29</f>
        <v>3800000</v>
      </c>
      <c r="BO22" s="37">
        <f>Assumptions!BO29</f>
        <v>3900000</v>
      </c>
      <c r="BP22" s="37">
        <f>Assumptions!BP29</f>
        <v>3900000</v>
      </c>
      <c r="BQ22" s="37">
        <f>Assumptions!BQ29</f>
        <v>3900000</v>
      </c>
      <c r="BR22" s="37">
        <f>Assumptions!BR29</f>
        <v>4000000</v>
      </c>
      <c r="BS22" s="37">
        <f>Assumptions!BS29</f>
        <v>4000000</v>
      </c>
      <c r="BT22" s="37">
        <f>Assumptions!BT29</f>
        <v>4000000</v>
      </c>
      <c r="BU22" s="11"/>
      <c r="BV22" s="37">
        <f t="shared" ref="BV22:BZ31" si="9">SUMIF($M$3:$BT$3,BV$3,$M22:$BT22)</f>
        <v>4950000</v>
      </c>
      <c r="BW22" s="37">
        <f t="shared" si="9"/>
        <v>18150000</v>
      </c>
      <c r="BX22" s="37">
        <f t="shared" si="9"/>
        <v>29400000</v>
      </c>
      <c r="BY22" s="37">
        <f t="shared" si="9"/>
        <v>37800000</v>
      </c>
      <c r="BZ22" s="37">
        <f t="shared" si="9"/>
        <v>46200000</v>
      </c>
    </row>
    <row r="23" spans="1:78" x14ac:dyDescent="0.3">
      <c r="A23" s="30" t="str">
        <f>Assumptions!A30</f>
        <v>Advetising/Marketing Expense Type 2 SMBs Focused</v>
      </c>
      <c r="M23" s="37">
        <f>Assumptions!M30</f>
        <v>75000</v>
      </c>
      <c r="N23" s="37">
        <f>Assumptions!N30</f>
        <v>75000</v>
      </c>
      <c r="O23" s="37">
        <f>Assumptions!O30</f>
        <v>75000</v>
      </c>
      <c r="P23" s="37">
        <f>Assumptions!P30</f>
        <v>125000</v>
      </c>
      <c r="Q23" s="37">
        <f>Assumptions!Q30</f>
        <v>125000</v>
      </c>
      <c r="R23" s="37">
        <f>Assumptions!R30</f>
        <v>125000</v>
      </c>
      <c r="S23" s="37">
        <f>Assumptions!S30</f>
        <v>250000</v>
      </c>
      <c r="T23" s="37">
        <f>Assumptions!T30</f>
        <v>250000</v>
      </c>
      <c r="U23" s="37">
        <f>Assumptions!U30</f>
        <v>250000</v>
      </c>
      <c r="V23" s="37">
        <f>Assumptions!V30</f>
        <v>375000</v>
      </c>
      <c r="W23" s="37">
        <f>Assumptions!W30</f>
        <v>375000</v>
      </c>
      <c r="X23" s="37">
        <f>Assumptions!X30</f>
        <v>375000</v>
      </c>
      <c r="Y23" s="37">
        <f>Assumptions!Y30</f>
        <v>425000</v>
      </c>
      <c r="Z23" s="37">
        <f>Assumptions!Z30</f>
        <v>425000</v>
      </c>
      <c r="AA23" s="37">
        <f>Assumptions!AA30</f>
        <v>425000</v>
      </c>
      <c r="AB23" s="37">
        <f>Assumptions!AB30</f>
        <v>500000</v>
      </c>
      <c r="AC23" s="37">
        <f>Assumptions!AC30</f>
        <v>500000</v>
      </c>
      <c r="AD23" s="37">
        <f>Assumptions!AD30</f>
        <v>500000</v>
      </c>
      <c r="AE23" s="37">
        <f>Assumptions!AE30</f>
        <v>1000000</v>
      </c>
      <c r="AF23" s="37">
        <f>Assumptions!AF30</f>
        <v>1000000</v>
      </c>
      <c r="AG23" s="37">
        <f>Assumptions!AG30</f>
        <v>1000000</v>
      </c>
      <c r="AH23" s="37">
        <f>Assumptions!AH30</f>
        <v>1100000</v>
      </c>
      <c r="AI23" s="37">
        <f>Assumptions!AI30</f>
        <v>1100000</v>
      </c>
      <c r="AJ23" s="37">
        <f>Assumptions!AJ30</f>
        <v>1100000</v>
      </c>
      <c r="AK23" s="37">
        <f>Assumptions!AK30</f>
        <v>1150000</v>
      </c>
      <c r="AL23" s="37">
        <f>Assumptions!AL30</f>
        <v>1150000</v>
      </c>
      <c r="AM23" s="37">
        <f>Assumptions!AM30</f>
        <v>1150000</v>
      </c>
      <c r="AN23" s="37">
        <f>Assumptions!AN30</f>
        <v>1200000</v>
      </c>
      <c r="AO23" s="37">
        <f>Assumptions!AO30</f>
        <v>1200000</v>
      </c>
      <c r="AP23" s="37">
        <f>Assumptions!AP30</f>
        <v>1200000</v>
      </c>
      <c r="AQ23" s="37">
        <f>Assumptions!AQ30</f>
        <v>1250000</v>
      </c>
      <c r="AR23" s="37">
        <f>Assumptions!AR30</f>
        <v>1250000</v>
      </c>
      <c r="AS23" s="37">
        <f>Assumptions!AS30</f>
        <v>1250000</v>
      </c>
      <c r="AT23" s="37">
        <f>Assumptions!AT30</f>
        <v>1300000</v>
      </c>
      <c r="AU23" s="37">
        <f>Assumptions!AU30</f>
        <v>1300000</v>
      </c>
      <c r="AV23" s="37">
        <f>Assumptions!AV30</f>
        <v>1300000</v>
      </c>
      <c r="AW23" s="37">
        <f>Assumptions!AW30</f>
        <v>2600000</v>
      </c>
      <c r="AX23" s="37">
        <f>Assumptions!AX30</f>
        <v>2600000</v>
      </c>
      <c r="AY23" s="37">
        <f>Assumptions!AY30</f>
        <v>2600000</v>
      </c>
      <c r="AZ23" s="37">
        <f>Assumptions!AZ30</f>
        <v>2800000</v>
      </c>
      <c r="BA23" s="37">
        <f>Assumptions!BA30</f>
        <v>2800000</v>
      </c>
      <c r="BB23" s="37">
        <f>Assumptions!BB30</f>
        <v>2800000</v>
      </c>
      <c r="BC23" s="37">
        <f>Assumptions!BC30</f>
        <v>3000000</v>
      </c>
      <c r="BD23" s="37">
        <f>Assumptions!BD30</f>
        <v>3000000</v>
      </c>
      <c r="BE23" s="37">
        <f>Assumptions!BE30</f>
        <v>3000000</v>
      </c>
      <c r="BF23" s="37">
        <f>Assumptions!BF30</f>
        <v>3200000</v>
      </c>
      <c r="BG23" s="37">
        <f>Assumptions!BG30</f>
        <v>3200000</v>
      </c>
      <c r="BH23" s="37">
        <f>Assumptions!BH30</f>
        <v>3200000</v>
      </c>
      <c r="BI23" s="37">
        <f>Assumptions!BI30</f>
        <v>4000000</v>
      </c>
      <c r="BJ23" s="37">
        <f>Assumptions!BJ30</f>
        <v>4000000</v>
      </c>
      <c r="BK23" s="37">
        <f>Assumptions!BK30</f>
        <v>4000000</v>
      </c>
      <c r="BL23" s="37">
        <f>Assumptions!BL30</f>
        <v>4100000</v>
      </c>
      <c r="BM23" s="37">
        <f>Assumptions!BM30</f>
        <v>4100000</v>
      </c>
      <c r="BN23" s="37">
        <f>Assumptions!BN30</f>
        <v>4100000</v>
      </c>
      <c r="BO23" s="37">
        <f>Assumptions!BO30</f>
        <v>4200000</v>
      </c>
      <c r="BP23" s="37">
        <f>Assumptions!BP30</f>
        <v>4200000</v>
      </c>
      <c r="BQ23" s="37">
        <f>Assumptions!BQ30</f>
        <v>4200000</v>
      </c>
      <c r="BR23" s="37">
        <f>Assumptions!BR30</f>
        <v>4300000</v>
      </c>
      <c r="BS23" s="37">
        <f>Assumptions!BS30</f>
        <v>4300000</v>
      </c>
      <c r="BT23" s="37">
        <f>Assumptions!BT30</f>
        <v>4300000</v>
      </c>
      <c r="BU23" s="11"/>
      <c r="BV23" s="37"/>
      <c r="BW23" s="37"/>
      <c r="BX23" s="37"/>
      <c r="BY23" s="37"/>
      <c r="BZ23" s="37"/>
    </row>
    <row r="24" spans="1:78" x14ac:dyDescent="0.3">
      <c r="A24" t="str">
        <f>Assumptions!A31</f>
        <v>Cost/Lead Type 1</v>
      </c>
      <c r="G24" s="42">
        <f>Assumptions!G31</f>
        <v>2000</v>
      </c>
      <c r="H24" s="42">
        <f>Assumptions!H31</f>
        <v>2000</v>
      </c>
      <c r="M24" s="24">
        <f>Assumptions!M31</f>
        <v>2000</v>
      </c>
      <c r="N24" s="24">
        <f>Assumptions!N31</f>
        <v>2000</v>
      </c>
      <c r="O24" s="24">
        <f>Assumptions!O31</f>
        <v>2000</v>
      </c>
      <c r="P24" s="24">
        <f>Assumptions!P31</f>
        <v>2000</v>
      </c>
      <c r="Q24" s="24">
        <f>Assumptions!Q31</f>
        <v>2000</v>
      </c>
      <c r="R24" s="24">
        <f>Assumptions!R31</f>
        <v>2000</v>
      </c>
      <c r="S24" s="24">
        <f>Assumptions!S31</f>
        <v>2000</v>
      </c>
      <c r="T24" s="24">
        <f>Assumptions!T31</f>
        <v>2000</v>
      </c>
      <c r="U24" s="24">
        <f>Assumptions!U31</f>
        <v>2000</v>
      </c>
      <c r="V24" s="24">
        <f>Assumptions!V31</f>
        <v>2000</v>
      </c>
      <c r="W24" s="24">
        <f>Assumptions!W31</f>
        <v>2000</v>
      </c>
      <c r="X24" s="24">
        <f>Assumptions!X31</f>
        <v>2000</v>
      </c>
      <c r="Y24" s="24">
        <f>Assumptions!Y31</f>
        <v>2000</v>
      </c>
      <c r="Z24" s="24">
        <f>Assumptions!Z31</f>
        <v>2000</v>
      </c>
      <c r="AA24" s="24">
        <f>Assumptions!AA31</f>
        <v>2000</v>
      </c>
      <c r="AB24" s="24">
        <f>Assumptions!AB31</f>
        <v>2000</v>
      </c>
      <c r="AC24" s="24">
        <f>Assumptions!AC31</f>
        <v>2000</v>
      </c>
      <c r="AD24" s="24">
        <f>Assumptions!AD31</f>
        <v>2000</v>
      </c>
      <c r="AE24" s="24">
        <f>Assumptions!AE31</f>
        <v>2000</v>
      </c>
      <c r="AF24" s="24">
        <f>Assumptions!AF31</f>
        <v>2000</v>
      </c>
      <c r="AG24" s="24">
        <f>Assumptions!AG31</f>
        <v>2000</v>
      </c>
      <c r="AH24" s="24">
        <f>Assumptions!AH31</f>
        <v>2000</v>
      </c>
      <c r="AI24" s="24">
        <f>Assumptions!AI31</f>
        <v>2000</v>
      </c>
      <c r="AJ24" s="24">
        <f>Assumptions!AJ31</f>
        <v>2000</v>
      </c>
      <c r="AK24" s="24">
        <f>Assumptions!AK31</f>
        <v>2000</v>
      </c>
      <c r="AL24" s="24">
        <f>Assumptions!AL31</f>
        <v>2000</v>
      </c>
      <c r="AM24" s="24">
        <f>Assumptions!AM31</f>
        <v>2000</v>
      </c>
      <c r="AN24" s="24">
        <f>Assumptions!AN31</f>
        <v>2000</v>
      </c>
      <c r="AO24" s="24">
        <f>Assumptions!AO31</f>
        <v>2000</v>
      </c>
      <c r="AP24" s="24">
        <f>Assumptions!AP31</f>
        <v>2000</v>
      </c>
      <c r="AQ24" s="24">
        <f>Assumptions!AQ31</f>
        <v>2000</v>
      </c>
      <c r="AR24" s="24">
        <f>Assumptions!AR31</f>
        <v>2000</v>
      </c>
      <c r="AS24" s="24">
        <f>Assumptions!AS31</f>
        <v>2000</v>
      </c>
      <c r="AT24" s="24">
        <f>Assumptions!AT31</f>
        <v>2000</v>
      </c>
      <c r="AU24" s="24">
        <f>Assumptions!AU31</f>
        <v>2000</v>
      </c>
      <c r="AV24" s="24">
        <f>Assumptions!AV31</f>
        <v>2000</v>
      </c>
      <c r="AW24" s="24">
        <f>Assumptions!AW31</f>
        <v>2000</v>
      </c>
      <c r="AX24" s="24">
        <f>Assumptions!AX31</f>
        <v>2000</v>
      </c>
      <c r="AY24" s="24">
        <f>Assumptions!AY31</f>
        <v>2000</v>
      </c>
      <c r="AZ24" s="24">
        <f>Assumptions!AZ31</f>
        <v>2000</v>
      </c>
      <c r="BA24" s="24">
        <f>Assumptions!BA31</f>
        <v>2000</v>
      </c>
      <c r="BB24" s="24">
        <f>Assumptions!BB31</f>
        <v>2000</v>
      </c>
      <c r="BC24" s="24">
        <f>Assumptions!BC31</f>
        <v>2000</v>
      </c>
      <c r="BD24" s="24">
        <f>Assumptions!BD31</f>
        <v>2000</v>
      </c>
      <c r="BE24" s="24">
        <f>Assumptions!BE31</f>
        <v>2000</v>
      </c>
      <c r="BF24" s="24">
        <f>Assumptions!BF31</f>
        <v>2000</v>
      </c>
      <c r="BG24" s="24">
        <f>Assumptions!BG31</f>
        <v>2000</v>
      </c>
      <c r="BH24" s="24">
        <f>Assumptions!BH31</f>
        <v>2000</v>
      </c>
      <c r="BI24" s="24">
        <f>Assumptions!BI31</f>
        <v>2000</v>
      </c>
      <c r="BJ24" s="24">
        <f>Assumptions!BJ31</f>
        <v>2000</v>
      </c>
      <c r="BK24" s="24">
        <f>Assumptions!BK31</f>
        <v>2000</v>
      </c>
      <c r="BL24" s="24">
        <f>Assumptions!BL31</f>
        <v>2000</v>
      </c>
      <c r="BM24" s="24">
        <f>Assumptions!BM31</f>
        <v>2000</v>
      </c>
      <c r="BN24" s="24">
        <f>Assumptions!BN31</f>
        <v>2000</v>
      </c>
      <c r="BO24" s="24">
        <f>Assumptions!BO31</f>
        <v>2000</v>
      </c>
      <c r="BP24" s="24">
        <f>Assumptions!BP31</f>
        <v>2000</v>
      </c>
      <c r="BQ24" s="24">
        <f>Assumptions!BQ31</f>
        <v>2000</v>
      </c>
      <c r="BR24" s="24">
        <f>Assumptions!BR31</f>
        <v>2000</v>
      </c>
      <c r="BS24" s="24">
        <f>Assumptions!BS31</f>
        <v>2000</v>
      </c>
      <c r="BT24" s="24">
        <f>Assumptions!BT31</f>
        <v>2000</v>
      </c>
      <c r="BU24" s="11"/>
    </row>
    <row r="25" spans="1:78" x14ac:dyDescent="0.3">
      <c r="A25" t="str">
        <f>Assumptions!A32</f>
        <v>Cost/Lead Type 2</v>
      </c>
      <c r="G25" s="42">
        <f>Assumptions!G32</f>
        <v>1000</v>
      </c>
      <c r="H25" s="42">
        <f>Assumptions!H32</f>
        <v>1000</v>
      </c>
      <c r="M25" s="24">
        <f>Assumptions!M32</f>
        <v>1000</v>
      </c>
      <c r="N25" s="24">
        <f>Assumptions!N32</f>
        <v>1000</v>
      </c>
      <c r="O25" s="24">
        <f>Assumptions!O32</f>
        <v>1000</v>
      </c>
      <c r="P25" s="24">
        <f>Assumptions!P32</f>
        <v>1000</v>
      </c>
      <c r="Q25" s="24">
        <f>Assumptions!Q32</f>
        <v>1000</v>
      </c>
      <c r="R25" s="24">
        <f>Assumptions!R32</f>
        <v>1000</v>
      </c>
      <c r="S25" s="24">
        <f>Assumptions!S32</f>
        <v>1000</v>
      </c>
      <c r="T25" s="24">
        <f>Assumptions!T32</f>
        <v>1000</v>
      </c>
      <c r="U25" s="24">
        <f>Assumptions!U32</f>
        <v>1000</v>
      </c>
      <c r="V25" s="24">
        <f>Assumptions!V32</f>
        <v>1000</v>
      </c>
      <c r="W25" s="24">
        <f>Assumptions!W32</f>
        <v>1000</v>
      </c>
      <c r="X25" s="24">
        <f>Assumptions!X32</f>
        <v>1000</v>
      </c>
      <c r="Y25" s="24">
        <f>Assumptions!Y32</f>
        <v>1000</v>
      </c>
      <c r="Z25" s="24">
        <f>Assumptions!Z32</f>
        <v>1000</v>
      </c>
      <c r="AA25" s="24">
        <f>Assumptions!AA32</f>
        <v>1000</v>
      </c>
      <c r="AB25" s="24">
        <f>Assumptions!AB32</f>
        <v>1000</v>
      </c>
      <c r="AC25" s="24">
        <f>Assumptions!AC32</f>
        <v>1000</v>
      </c>
      <c r="AD25" s="24">
        <f>Assumptions!AD32</f>
        <v>1000</v>
      </c>
      <c r="AE25" s="24">
        <f>Assumptions!AE32</f>
        <v>1000</v>
      </c>
      <c r="AF25" s="24">
        <f>Assumptions!AF32</f>
        <v>1000</v>
      </c>
      <c r="AG25" s="24">
        <f>Assumptions!AG32</f>
        <v>1000</v>
      </c>
      <c r="AH25" s="24">
        <f>Assumptions!AH32</f>
        <v>1000</v>
      </c>
      <c r="AI25" s="24">
        <f>Assumptions!AI32</f>
        <v>1000</v>
      </c>
      <c r="AJ25" s="24">
        <f>Assumptions!AJ32</f>
        <v>1000</v>
      </c>
      <c r="AK25" s="24">
        <f>Assumptions!AK32</f>
        <v>1000</v>
      </c>
      <c r="AL25" s="24">
        <f>Assumptions!AL32</f>
        <v>1000</v>
      </c>
      <c r="AM25" s="24">
        <f>Assumptions!AM32</f>
        <v>1000</v>
      </c>
      <c r="AN25" s="24">
        <f>Assumptions!AN32</f>
        <v>1000</v>
      </c>
      <c r="AO25" s="24">
        <f>Assumptions!AO32</f>
        <v>1000</v>
      </c>
      <c r="AP25" s="24">
        <f>Assumptions!AP32</f>
        <v>1000</v>
      </c>
      <c r="AQ25" s="24">
        <f>Assumptions!AQ32</f>
        <v>1000</v>
      </c>
      <c r="AR25" s="24">
        <f>Assumptions!AR32</f>
        <v>1000</v>
      </c>
      <c r="AS25" s="24">
        <f>Assumptions!AS32</f>
        <v>1000</v>
      </c>
      <c r="AT25" s="24">
        <f>Assumptions!AT32</f>
        <v>1000</v>
      </c>
      <c r="AU25" s="24">
        <f>Assumptions!AU32</f>
        <v>1000</v>
      </c>
      <c r="AV25" s="24">
        <f>Assumptions!AV32</f>
        <v>1000</v>
      </c>
      <c r="AW25" s="24">
        <f>Assumptions!AW32</f>
        <v>1000</v>
      </c>
      <c r="AX25" s="24">
        <f>Assumptions!AX32</f>
        <v>1000</v>
      </c>
      <c r="AY25" s="24">
        <f>Assumptions!AY32</f>
        <v>1000</v>
      </c>
      <c r="AZ25" s="24">
        <f>Assumptions!AZ32</f>
        <v>1000</v>
      </c>
      <c r="BA25" s="24">
        <f>Assumptions!BA32</f>
        <v>1000</v>
      </c>
      <c r="BB25" s="24">
        <f>Assumptions!BB32</f>
        <v>1000</v>
      </c>
      <c r="BC25" s="24">
        <f>Assumptions!BC32</f>
        <v>1000</v>
      </c>
      <c r="BD25" s="24">
        <f>Assumptions!BD32</f>
        <v>1000</v>
      </c>
      <c r="BE25" s="24">
        <f>Assumptions!BE32</f>
        <v>1000</v>
      </c>
      <c r="BF25" s="24">
        <f>Assumptions!BF32</f>
        <v>1000</v>
      </c>
      <c r="BG25" s="24">
        <f>Assumptions!BG32</f>
        <v>1000</v>
      </c>
      <c r="BH25" s="24">
        <f>Assumptions!BH32</f>
        <v>1000</v>
      </c>
      <c r="BI25" s="24">
        <f>Assumptions!BI32</f>
        <v>1000</v>
      </c>
      <c r="BJ25" s="24">
        <f>Assumptions!BJ32</f>
        <v>1000</v>
      </c>
      <c r="BK25" s="24">
        <f>Assumptions!BK32</f>
        <v>1000</v>
      </c>
      <c r="BL25" s="24">
        <f>Assumptions!BL32</f>
        <v>1000</v>
      </c>
      <c r="BM25" s="24">
        <f>Assumptions!BM32</f>
        <v>1000</v>
      </c>
      <c r="BN25" s="24">
        <f>Assumptions!BN32</f>
        <v>1000</v>
      </c>
      <c r="BO25" s="24">
        <f>Assumptions!BO32</f>
        <v>1000</v>
      </c>
      <c r="BP25" s="24">
        <f>Assumptions!BP32</f>
        <v>1000</v>
      </c>
      <c r="BQ25" s="24">
        <f>Assumptions!BQ32</f>
        <v>1000</v>
      </c>
      <c r="BR25" s="24">
        <f>Assumptions!BR32</f>
        <v>1000</v>
      </c>
      <c r="BS25" s="24">
        <f>Assumptions!BS32</f>
        <v>1000</v>
      </c>
      <c r="BT25" s="24">
        <f>Assumptions!BT32</f>
        <v>1000</v>
      </c>
      <c r="BU25" s="11"/>
    </row>
    <row r="26" spans="1:78" x14ac:dyDescent="0.3">
      <c r="A26" t="s">
        <v>7</v>
      </c>
      <c r="M26" s="24">
        <f>ROUND(M22/M24,0)</f>
        <v>75</v>
      </c>
      <c r="N26" s="24">
        <f t="shared" ref="N26:BT26" si="10">ROUND(N22/N24,0)</f>
        <v>75</v>
      </c>
      <c r="O26" s="24">
        <f t="shared" si="10"/>
        <v>75</v>
      </c>
      <c r="P26" s="24">
        <f t="shared" si="10"/>
        <v>125</v>
      </c>
      <c r="Q26" s="24">
        <f t="shared" si="10"/>
        <v>125</v>
      </c>
      <c r="R26" s="24">
        <f t="shared" si="10"/>
        <v>125</v>
      </c>
      <c r="S26" s="24">
        <f t="shared" si="10"/>
        <v>250</v>
      </c>
      <c r="T26" s="24">
        <f t="shared" si="10"/>
        <v>250</v>
      </c>
      <c r="U26" s="24">
        <f t="shared" si="10"/>
        <v>250</v>
      </c>
      <c r="V26" s="24">
        <f t="shared" si="10"/>
        <v>375</v>
      </c>
      <c r="W26" s="24">
        <f t="shared" si="10"/>
        <v>375</v>
      </c>
      <c r="X26" s="24">
        <f t="shared" si="10"/>
        <v>375</v>
      </c>
      <c r="Y26" s="24">
        <f t="shared" si="10"/>
        <v>425</v>
      </c>
      <c r="Z26" s="24">
        <f t="shared" si="10"/>
        <v>425</v>
      </c>
      <c r="AA26" s="24">
        <f t="shared" si="10"/>
        <v>425</v>
      </c>
      <c r="AB26" s="24">
        <f t="shared" si="10"/>
        <v>500</v>
      </c>
      <c r="AC26" s="24">
        <f t="shared" si="10"/>
        <v>500</v>
      </c>
      <c r="AD26" s="24">
        <f t="shared" si="10"/>
        <v>500</v>
      </c>
      <c r="AE26" s="24">
        <f t="shared" si="10"/>
        <v>1000</v>
      </c>
      <c r="AF26" s="24">
        <f t="shared" si="10"/>
        <v>1000</v>
      </c>
      <c r="AG26" s="24">
        <f t="shared" si="10"/>
        <v>1000</v>
      </c>
      <c r="AH26" s="24">
        <f t="shared" si="10"/>
        <v>1100</v>
      </c>
      <c r="AI26" s="24">
        <f t="shared" si="10"/>
        <v>1100</v>
      </c>
      <c r="AJ26" s="24">
        <f t="shared" si="10"/>
        <v>1100</v>
      </c>
      <c r="AK26" s="24">
        <f t="shared" si="10"/>
        <v>1150</v>
      </c>
      <c r="AL26" s="24">
        <f t="shared" si="10"/>
        <v>1150</v>
      </c>
      <c r="AM26" s="24">
        <f t="shared" si="10"/>
        <v>1150</v>
      </c>
      <c r="AN26" s="24">
        <f t="shared" si="10"/>
        <v>1200</v>
      </c>
      <c r="AO26" s="24">
        <f t="shared" si="10"/>
        <v>1200</v>
      </c>
      <c r="AP26" s="24">
        <f t="shared" si="10"/>
        <v>1200</v>
      </c>
      <c r="AQ26" s="24">
        <f t="shared" si="10"/>
        <v>1250</v>
      </c>
      <c r="AR26" s="24">
        <f t="shared" si="10"/>
        <v>1250</v>
      </c>
      <c r="AS26" s="24">
        <f t="shared" si="10"/>
        <v>1250</v>
      </c>
      <c r="AT26" s="24">
        <f t="shared" si="10"/>
        <v>1300</v>
      </c>
      <c r="AU26" s="24">
        <f t="shared" si="10"/>
        <v>1300</v>
      </c>
      <c r="AV26" s="24">
        <f t="shared" si="10"/>
        <v>1300</v>
      </c>
      <c r="AW26" s="24">
        <f t="shared" si="10"/>
        <v>1500</v>
      </c>
      <c r="AX26" s="24">
        <f t="shared" si="10"/>
        <v>1500</v>
      </c>
      <c r="AY26" s="24">
        <f t="shared" si="10"/>
        <v>1500</v>
      </c>
      <c r="AZ26" s="24">
        <f t="shared" si="10"/>
        <v>1550</v>
      </c>
      <c r="BA26" s="24">
        <f t="shared" si="10"/>
        <v>1550</v>
      </c>
      <c r="BB26" s="24">
        <f t="shared" si="10"/>
        <v>1550</v>
      </c>
      <c r="BC26" s="24">
        <f t="shared" si="10"/>
        <v>1600</v>
      </c>
      <c r="BD26" s="24">
        <f t="shared" si="10"/>
        <v>1600</v>
      </c>
      <c r="BE26" s="24">
        <f t="shared" si="10"/>
        <v>1600</v>
      </c>
      <c r="BF26" s="24">
        <f t="shared" si="10"/>
        <v>1650</v>
      </c>
      <c r="BG26" s="24">
        <f t="shared" si="10"/>
        <v>1650</v>
      </c>
      <c r="BH26" s="24">
        <f t="shared" si="10"/>
        <v>1650</v>
      </c>
      <c r="BI26" s="24">
        <f t="shared" si="10"/>
        <v>1850</v>
      </c>
      <c r="BJ26" s="24">
        <f t="shared" si="10"/>
        <v>1850</v>
      </c>
      <c r="BK26" s="24">
        <f t="shared" si="10"/>
        <v>1850</v>
      </c>
      <c r="BL26" s="24">
        <f t="shared" si="10"/>
        <v>1900</v>
      </c>
      <c r="BM26" s="24">
        <f t="shared" si="10"/>
        <v>1900</v>
      </c>
      <c r="BN26" s="24">
        <f t="shared" si="10"/>
        <v>1900</v>
      </c>
      <c r="BO26" s="24">
        <f t="shared" si="10"/>
        <v>1950</v>
      </c>
      <c r="BP26" s="24">
        <f t="shared" si="10"/>
        <v>1950</v>
      </c>
      <c r="BQ26" s="24">
        <f t="shared" si="10"/>
        <v>1950</v>
      </c>
      <c r="BR26" s="24">
        <f t="shared" si="10"/>
        <v>2000</v>
      </c>
      <c r="BS26" s="24">
        <f t="shared" si="10"/>
        <v>2000</v>
      </c>
      <c r="BT26" s="24">
        <f t="shared" si="10"/>
        <v>2000</v>
      </c>
      <c r="BU26" s="11"/>
      <c r="BV26" s="37">
        <f t="shared" si="9"/>
        <v>2475</v>
      </c>
      <c r="BW26" s="37">
        <f t="shared" si="9"/>
        <v>9075</v>
      </c>
      <c r="BX26" s="37">
        <f t="shared" si="9"/>
        <v>14700</v>
      </c>
      <c r="BY26" s="37">
        <f t="shared" si="9"/>
        <v>18900</v>
      </c>
      <c r="BZ26" s="37">
        <f t="shared" si="9"/>
        <v>23100</v>
      </c>
    </row>
    <row r="27" spans="1:78" x14ac:dyDescent="0.3">
      <c r="A27" t="s">
        <v>7</v>
      </c>
      <c r="M27" s="24">
        <f>ROUND(M23/M25,0)</f>
        <v>75</v>
      </c>
      <c r="N27" s="24">
        <f t="shared" ref="N27:BT27" si="11">ROUND(N23/N25,0)</f>
        <v>75</v>
      </c>
      <c r="O27" s="24">
        <f t="shared" si="11"/>
        <v>75</v>
      </c>
      <c r="P27" s="24">
        <f t="shared" si="11"/>
        <v>125</v>
      </c>
      <c r="Q27" s="24">
        <f t="shared" si="11"/>
        <v>125</v>
      </c>
      <c r="R27" s="24">
        <f t="shared" si="11"/>
        <v>125</v>
      </c>
      <c r="S27" s="24">
        <f t="shared" si="11"/>
        <v>250</v>
      </c>
      <c r="T27" s="24">
        <f t="shared" si="11"/>
        <v>250</v>
      </c>
      <c r="U27" s="24">
        <f t="shared" si="11"/>
        <v>250</v>
      </c>
      <c r="V27" s="24">
        <f t="shared" si="11"/>
        <v>375</v>
      </c>
      <c r="W27" s="24">
        <f t="shared" si="11"/>
        <v>375</v>
      </c>
      <c r="X27" s="24">
        <f t="shared" si="11"/>
        <v>375</v>
      </c>
      <c r="Y27" s="24">
        <f t="shared" si="11"/>
        <v>425</v>
      </c>
      <c r="Z27" s="24">
        <f t="shared" si="11"/>
        <v>425</v>
      </c>
      <c r="AA27" s="24">
        <f t="shared" si="11"/>
        <v>425</v>
      </c>
      <c r="AB27" s="24">
        <f t="shared" si="11"/>
        <v>500</v>
      </c>
      <c r="AC27" s="24">
        <f t="shared" si="11"/>
        <v>500</v>
      </c>
      <c r="AD27" s="24">
        <f t="shared" si="11"/>
        <v>500</v>
      </c>
      <c r="AE27" s="24">
        <f t="shared" si="11"/>
        <v>1000</v>
      </c>
      <c r="AF27" s="24">
        <f t="shared" si="11"/>
        <v>1000</v>
      </c>
      <c r="AG27" s="24">
        <f t="shared" si="11"/>
        <v>1000</v>
      </c>
      <c r="AH27" s="24">
        <f t="shared" si="11"/>
        <v>1100</v>
      </c>
      <c r="AI27" s="24">
        <f t="shared" si="11"/>
        <v>1100</v>
      </c>
      <c r="AJ27" s="24">
        <f t="shared" si="11"/>
        <v>1100</v>
      </c>
      <c r="AK27" s="24">
        <f t="shared" si="11"/>
        <v>1150</v>
      </c>
      <c r="AL27" s="24">
        <f t="shared" si="11"/>
        <v>1150</v>
      </c>
      <c r="AM27" s="24">
        <f t="shared" si="11"/>
        <v>1150</v>
      </c>
      <c r="AN27" s="24">
        <f t="shared" si="11"/>
        <v>1200</v>
      </c>
      <c r="AO27" s="24">
        <f t="shared" si="11"/>
        <v>1200</v>
      </c>
      <c r="AP27" s="24">
        <f t="shared" si="11"/>
        <v>1200</v>
      </c>
      <c r="AQ27" s="24">
        <f t="shared" si="11"/>
        <v>1250</v>
      </c>
      <c r="AR27" s="24">
        <f t="shared" si="11"/>
        <v>1250</v>
      </c>
      <c r="AS27" s="24">
        <f t="shared" si="11"/>
        <v>1250</v>
      </c>
      <c r="AT27" s="24">
        <f t="shared" si="11"/>
        <v>1300</v>
      </c>
      <c r="AU27" s="24">
        <f t="shared" si="11"/>
        <v>1300</v>
      </c>
      <c r="AV27" s="24">
        <f t="shared" si="11"/>
        <v>1300</v>
      </c>
      <c r="AW27" s="24">
        <f t="shared" si="11"/>
        <v>2600</v>
      </c>
      <c r="AX27" s="24">
        <f t="shared" si="11"/>
        <v>2600</v>
      </c>
      <c r="AY27" s="24">
        <f t="shared" si="11"/>
        <v>2600</v>
      </c>
      <c r="AZ27" s="24">
        <f t="shared" si="11"/>
        <v>2800</v>
      </c>
      <c r="BA27" s="24">
        <f t="shared" si="11"/>
        <v>2800</v>
      </c>
      <c r="BB27" s="24">
        <f t="shared" si="11"/>
        <v>2800</v>
      </c>
      <c r="BC27" s="24">
        <f t="shared" si="11"/>
        <v>3000</v>
      </c>
      <c r="BD27" s="24">
        <f t="shared" si="11"/>
        <v>3000</v>
      </c>
      <c r="BE27" s="24">
        <f t="shared" si="11"/>
        <v>3000</v>
      </c>
      <c r="BF27" s="24">
        <f t="shared" si="11"/>
        <v>3200</v>
      </c>
      <c r="BG27" s="24">
        <f t="shared" si="11"/>
        <v>3200</v>
      </c>
      <c r="BH27" s="24">
        <f t="shared" si="11"/>
        <v>3200</v>
      </c>
      <c r="BI27" s="24">
        <f t="shared" si="11"/>
        <v>4000</v>
      </c>
      <c r="BJ27" s="24">
        <f t="shared" si="11"/>
        <v>4000</v>
      </c>
      <c r="BK27" s="24">
        <f t="shared" si="11"/>
        <v>4000</v>
      </c>
      <c r="BL27" s="24">
        <f t="shared" si="11"/>
        <v>4100</v>
      </c>
      <c r="BM27" s="24">
        <f t="shared" si="11"/>
        <v>4100</v>
      </c>
      <c r="BN27" s="24">
        <f t="shared" si="11"/>
        <v>4100</v>
      </c>
      <c r="BO27" s="24">
        <f t="shared" si="11"/>
        <v>4200</v>
      </c>
      <c r="BP27" s="24">
        <f t="shared" si="11"/>
        <v>4200</v>
      </c>
      <c r="BQ27" s="24">
        <f t="shared" si="11"/>
        <v>4200</v>
      </c>
      <c r="BR27" s="24">
        <f t="shared" si="11"/>
        <v>4300</v>
      </c>
      <c r="BS27" s="24">
        <f t="shared" si="11"/>
        <v>4300</v>
      </c>
      <c r="BT27" s="24">
        <f t="shared" si="11"/>
        <v>4300</v>
      </c>
      <c r="BU27" s="11"/>
      <c r="BV27" s="37"/>
      <c r="BW27" s="37"/>
      <c r="BX27" s="37"/>
      <c r="BY27" s="37"/>
      <c r="BZ27" s="37"/>
    </row>
    <row r="28" spans="1:78" x14ac:dyDescent="0.3">
      <c r="A28" s="29" t="str">
        <f>Assumptions!A33</f>
        <v>Sales Commission %</v>
      </c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11"/>
    </row>
    <row r="29" spans="1:78" x14ac:dyDescent="0.3">
      <c r="A29" s="30" t="str">
        <f>Assumptions!A34</f>
        <v>New Bookings</v>
      </c>
      <c r="M29" s="69">
        <f>Assumptions!M34*'Revenue Buildup'!M12</f>
        <v>48000</v>
      </c>
      <c r="N29" s="69">
        <f>Assumptions!N34*'Revenue Buildup'!N12</f>
        <v>48000</v>
      </c>
      <c r="O29" s="69">
        <f>Assumptions!O34*'Revenue Buildup'!O12</f>
        <v>48000</v>
      </c>
      <c r="P29" s="69">
        <f>Assumptions!P34*'Revenue Buildup'!P12</f>
        <v>72000</v>
      </c>
      <c r="Q29" s="69">
        <f>Assumptions!Q34*'Revenue Buildup'!Q12</f>
        <v>72000</v>
      </c>
      <c r="R29" s="69">
        <f>Assumptions!R34*'Revenue Buildup'!R12</f>
        <v>72000</v>
      </c>
      <c r="S29" s="69">
        <f>Assumptions!S34*'Revenue Buildup'!S12</f>
        <v>156000</v>
      </c>
      <c r="T29" s="69">
        <f>Assumptions!T34*'Revenue Buildup'!T12</f>
        <v>156000</v>
      </c>
      <c r="U29" s="69">
        <f>Assumptions!U34*'Revenue Buildup'!U12</f>
        <v>156000</v>
      </c>
      <c r="V29" s="69">
        <f>Assumptions!V34*'Revenue Buildup'!V12</f>
        <v>228000</v>
      </c>
      <c r="W29" s="69">
        <f>Assumptions!W34*'Revenue Buildup'!W12</f>
        <v>228000</v>
      </c>
      <c r="X29" s="69">
        <f>Assumptions!X34*'Revenue Buildup'!X12</f>
        <v>228000</v>
      </c>
      <c r="Y29" s="69">
        <f>Assumptions!Y34*'Revenue Buildup'!Y12</f>
        <v>252000</v>
      </c>
      <c r="Z29" s="69">
        <f>Assumptions!Z34*'Revenue Buildup'!Z12</f>
        <v>252000</v>
      </c>
      <c r="AA29" s="69">
        <f>Assumptions!AA34*'Revenue Buildup'!AA12</f>
        <v>252000</v>
      </c>
      <c r="AB29" s="69">
        <f>Assumptions!AB34*'Revenue Buildup'!AB12</f>
        <v>300000</v>
      </c>
      <c r="AC29" s="69">
        <f>Assumptions!AC34*'Revenue Buildup'!AC12</f>
        <v>300000</v>
      </c>
      <c r="AD29" s="69">
        <f>Assumptions!AD34*'Revenue Buildup'!AD12</f>
        <v>300000</v>
      </c>
      <c r="AE29" s="69">
        <f>Assumptions!AE34*'Revenue Buildup'!AE12</f>
        <v>600000</v>
      </c>
      <c r="AF29" s="69">
        <f>Assumptions!AF34*'Revenue Buildup'!AF12</f>
        <v>600000</v>
      </c>
      <c r="AG29" s="69">
        <f>Assumptions!AG34*'Revenue Buildup'!AG12</f>
        <v>600000</v>
      </c>
      <c r="AH29" s="69">
        <f>Assumptions!AH34*'Revenue Buildup'!AH12</f>
        <v>660000</v>
      </c>
      <c r="AI29" s="69">
        <f>Assumptions!AI34*'Revenue Buildup'!AI12</f>
        <v>660000</v>
      </c>
      <c r="AJ29" s="69">
        <f>Assumptions!AJ34*'Revenue Buildup'!AJ12</f>
        <v>660000</v>
      </c>
      <c r="AK29" s="69">
        <f>Assumptions!AK34*'Revenue Buildup'!AK12</f>
        <v>696000</v>
      </c>
      <c r="AL29" s="69">
        <f>Assumptions!AL34*'Revenue Buildup'!AL12</f>
        <v>696000</v>
      </c>
      <c r="AM29" s="69">
        <f>Assumptions!AM34*'Revenue Buildup'!AM12</f>
        <v>696000</v>
      </c>
      <c r="AN29" s="69">
        <f>Assumptions!AN34*'Revenue Buildup'!AN12</f>
        <v>720000</v>
      </c>
      <c r="AO29" s="69">
        <f>Assumptions!AO34*'Revenue Buildup'!AO12</f>
        <v>720000</v>
      </c>
      <c r="AP29" s="69">
        <f>Assumptions!AP34*'Revenue Buildup'!AP12</f>
        <v>720000</v>
      </c>
      <c r="AQ29" s="69">
        <f>Assumptions!AQ34*'Revenue Buildup'!AQ12</f>
        <v>756000</v>
      </c>
      <c r="AR29" s="69">
        <f>Assumptions!AR34*'Revenue Buildup'!AR12</f>
        <v>756000</v>
      </c>
      <c r="AS29" s="69">
        <f>Assumptions!AS34*'Revenue Buildup'!AS12</f>
        <v>756000</v>
      </c>
      <c r="AT29" s="69">
        <f>Assumptions!AT34*'Revenue Buildup'!AT12</f>
        <v>780000</v>
      </c>
      <c r="AU29" s="69">
        <f>Assumptions!AU34*'Revenue Buildup'!AU12</f>
        <v>780000</v>
      </c>
      <c r="AV29" s="69">
        <f>Assumptions!AV34*'Revenue Buildup'!AV12</f>
        <v>780000</v>
      </c>
      <c r="AW29" s="69">
        <f>Assumptions!AW34*'Revenue Buildup'!AW12</f>
        <v>900000</v>
      </c>
      <c r="AX29" s="69">
        <f>Assumptions!AX34*'Revenue Buildup'!AX12</f>
        <v>900000</v>
      </c>
      <c r="AY29" s="69">
        <f>Assumptions!AY34*'Revenue Buildup'!AY12</f>
        <v>900000</v>
      </c>
      <c r="AZ29" s="69">
        <f>Assumptions!AZ34*'Revenue Buildup'!AZ12</f>
        <v>936000</v>
      </c>
      <c r="BA29" s="69">
        <f>Assumptions!BA34*'Revenue Buildup'!BA12</f>
        <v>936000</v>
      </c>
      <c r="BB29" s="69">
        <f>Assumptions!BB34*'Revenue Buildup'!BB12</f>
        <v>936000</v>
      </c>
      <c r="BC29" s="69">
        <f>Assumptions!BC34*'Revenue Buildup'!BC12</f>
        <v>960000</v>
      </c>
      <c r="BD29" s="69">
        <f>Assumptions!BD34*'Revenue Buildup'!BD12</f>
        <v>960000</v>
      </c>
      <c r="BE29" s="69">
        <f>Assumptions!BE34*'Revenue Buildup'!BE12</f>
        <v>960000</v>
      </c>
      <c r="BF29" s="69">
        <f>Assumptions!BF34*'Revenue Buildup'!BF12</f>
        <v>996000</v>
      </c>
      <c r="BG29" s="69">
        <f>Assumptions!BG34*'Revenue Buildup'!BG12</f>
        <v>996000</v>
      </c>
      <c r="BH29" s="69">
        <f>Assumptions!BH34*'Revenue Buildup'!BH12</f>
        <v>996000</v>
      </c>
      <c r="BI29" s="69">
        <f>Assumptions!BI34*'Revenue Buildup'!BI12</f>
        <v>1116000</v>
      </c>
      <c r="BJ29" s="69">
        <f>Assumptions!BJ34*'Revenue Buildup'!BJ12</f>
        <v>1116000</v>
      </c>
      <c r="BK29" s="69">
        <f>Assumptions!BK34*'Revenue Buildup'!BK12</f>
        <v>1116000</v>
      </c>
      <c r="BL29" s="69">
        <f>Assumptions!BL34*'Revenue Buildup'!BL12</f>
        <v>1140000</v>
      </c>
      <c r="BM29" s="69">
        <f>Assumptions!BM34*'Revenue Buildup'!BM12</f>
        <v>1140000</v>
      </c>
      <c r="BN29" s="69">
        <f>Assumptions!BN34*'Revenue Buildup'!BN12</f>
        <v>1140000</v>
      </c>
      <c r="BO29" s="69">
        <f>Assumptions!BO34*'Revenue Buildup'!BO12</f>
        <v>1176000</v>
      </c>
      <c r="BP29" s="69">
        <f>Assumptions!BP34*'Revenue Buildup'!BP12</f>
        <v>1176000</v>
      </c>
      <c r="BQ29" s="69">
        <f>Assumptions!BQ34*'Revenue Buildup'!BQ12</f>
        <v>1176000</v>
      </c>
      <c r="BR29" s="69">
        <f>Assumptions!BR34*'Revenue Buildup'!BR12</f>
        <v>1200000</v>
      </c>
      <c r="BS29" s="69">
        <f>Assumptions!BS34*'Revenue Buildup'!BS12</f>
        <v>1200000</v>
      </c>
      <c r="BT29" s="69">
        <f>Assumptions!BT34*'Revenue Buildup'!BT12</f>
        <v>1200000</v>
      </c>
      <c r="BU29" s="11"/>
      <c r="BV29" s="37">
        <f t="shared" si="9"/>
        <v>1512000</v>
      </c>
      <c r="BW29" s="37">
        <f t="shared" si="9"/>
        <v>5436000</v>
      </c>
      <c r="BX29" s="37">
        <f t="shared" si="9"/>
        <v>8856000</v>
      </c>
      <c r="BY29" s="37">
        <f t="shared" si="9"/>
        <v>11376000</v>
      </c>
      <c r="BZ29" s="37">
        <f t="shared" si="9"/>
        <v>13896000</v>
      </c>
    </row>
    <row r="30" spans="1:78" x14ac:dyDescent="0.3">
      <c r="A30" s="30" t="str">
        <f>Assumptions!A35</f>
        <v>Renewals</v>
      </c>
      <c r="M30" s="69">
        <f>Assumptions!M35*'Revenue Buildup'!M14</f>
        <v>0</v>
      </c>
      <c r="N30" s="69">
        <f>Assumptions!N35*'Revenue Buildup'!N14</f>
        <v>0</v>
      </c>
      <c r="O30" s="69">
        <f>Assumptions!O35*'Revenue Buildup'!O14</f>
        <v>0</v>
      </c>
      <c r="P30" s="69">
        <f>Assumptions!P35*'Revenue Buildup'!P14</f>
        <v>0</v>
      </c>
      <c r="Q30" s="69">
        <f>Assumptions!Q35*'Revenue Buildup'!Q14</f>
        <v>0</v>
      </c>
      <c r="R30" s="69">
        <f>Assumptions!R35*'Revenue Buildup'!R14</f>
        <v>0</v>
      </c>
      <c r="S30" s="69">
        <f>Assumptions!S35*'Revenue Buildup'!S14</f>
        <v>0</v>
      </c>
      <c r="T30" s="69">
        <f>Assumptions!T35*'Revenue Buildup'!T14</f>
        <v>0</v>
      </c>
      <c r="U30" s="69">
        <f>Assumptions!U35*'Revenue Buildup'!U14</f>
        <v>0</v>
      </c>
      <c r="V30" s="69">
        <f>Assumptions!V35*'Revenue Buildup'!V14</f>
        <v>0</v>
      </c>
      <c r="W30" s="69">
        <f>Assumptions!W35*'Revenue Buildup'!W14</f>
        <v>0</v>
      </c>
      <c r="X30" s="69">
        <f>Assumptions!X35*'Revenue Buildup'!X14</f>
        <v>0</v>
      </c>
      <c r="Y30" s="69">
        <f>Assumptions!Y35*'Revenue Buildup'!Y14</f>
        <v>9000</v>
      </c>
      <c r="Z30" s="69">
        <f>Assumptions!Z35*'Revenue Buildup'!Z14</f>
        <v>9000</v>
      </c>
      <c r="AA30" s="69">
        <f>Assumptions!AA35*'Revenue Buildup'!AA14</f>
        <v>9000</v>
      </c>
      <c r="AB30" s="69">
        <f>Assumptions!AB35*'Revenue Buildup'!AB14</f>
        <v>12000</v>
      </c>
      <c r="AC30" s="69">
        <f>Assumptions!AC35*'Revenue Buildup'!AC14</f>
        <v>12000</v>
      </c>
      <c r="AD30" s="69">
        <f>Assumptions!AD35*'Revenue Buildup'!AD14</f>
        <v>12000</v>
      </c>
      <c r="AE30" s="69">
        <f>Assumptions!AE35*'Revenue Buildup'!AE14</f>
        <v>27000</v>
      </c>
      <c r="AF30" s="69">
        <f>Assumptions!AF35*'Revenue Buildup'!AF14</f>
        <v>27000</v>
      </c>
      <c r="AG30" s="69">
        <f>Assumptions!AG35*'Revenue Buildup'!AG14</f>
        <v>27000</v>
      </c>
      <c r="AH30" s="69">
        <f>Assumptions!AH35*'Revenue Buildup'!AH14</f>
        <v>39000</v>
      </c>
      <c r="AI30" s="69">
        <f>Assumptions!AI35*'Revenue Buildup'!AI14</f>
        <v>39000</v>
      </c>
      <c r="AJ30" s="69">
        <f>Assumptions!AJ35*'Revenue Buildup'!AJ14</f>
        <v>39000</v>
      </c>
      <c r="AK30" s="69">
        <f>Assumptions!AK35*'Revenue Buildup'!AK14</f>
        <v>45000</v>
      </c>
      <c r="AL30" s="69">
        <f>Assumptions!AL35*'Revenue Buildup'!AL14</f>
        <v>45000</v>
      </c>
      <c r="AM30" s="69">
        <f>Assumptions!AM35*'Revenue Buildup'!AM14</f>
        <v>45000</v>
      </c>
      <c r="AN30" s="69">
        <f>Assumptions!AN35*'Revenue Buildup'!AN14</f>
        <v>51000</v>
      </c>
      <c r="AO30" s="69">
        <f>Assumptions!AO35*'Revenue Buildup'!AO14</f>
        <v>51000</v>
      </c>
      <c r="AP30" s="69">
        <f>Assumptions!AP35*'Revenue Buildup'!AP14</f>
        <v>51000</v>
      </c>
      <c r="AQ30" s="69">
        <f>Assumptions!AQ35*'Revenue Buildup'!AQ14</f>
        <v>105000</v>
      </c>
      <c r="AR30" s="69">
        <f>Assumptions!AR35*'Revenue Buildup'!AR14</f>
        <v>105000</v>
      </c>
      <c r="AS30" s="69">
        <f>Assumptions!AS35*'Revenue Buildup'!AS14</f>
        <v>105000</v>
      </c>
      <c r="AT30" s="69">
        <f>Assumptions!AT35*'Revenue Buildup'!AT14</f>
        <v>114000</v>
      </c>
      <c r="AU30" s="69">
        <f>Assumptions!AU35*'Revenue Buildup'!AU14</f>
        <v>114000</v>
      </c>
      <c r="AV30" s="69">
        <f>Assumptions!AV35*'Revenue Buildup'!AV14</f>
        <v>114000</v>
      </c>
      <c r="AW30" s="69">
        <f>Assumptions!AW35*'Revenue Buildup'!AW14</f>
        <v>123000</v>
      </c>
      <c r="AX30" s="69">
        <f>Assumptions!AX35*'Revenue Buildup'!AX14</f>
        <v>123000</v>
      </c>
      <c r="AY30" s="69">
        <f>Assumptions!AY35*'Revenue Buildup'!AY14</f>
        <v>123000</v>
      </c>
      <c r="AZ30" s="69">
        <f>Assumptions!AZ35*'Revenue Buildup'!AZ14</f>
        <v>126000</v>
      </c>
      <c r="BA30" s="69">
        <f>Assumptions!BA35*'Revenue Buildup'!BA14</f>
        <v>126000</v>
      </c>
      <c r="BB30" s="69">
        <f>Assumptions!BB35*'Revenue Buildup'!BB14</f>
        <v>126000</v>
      </c>
      <c r="BC30" s="69">
        <f>Assumptions!BC35*'Revenue Buildup'!BC14</f>
        <v>132000</v>
      </c>
      <c r="BD30" s="69">
        <f>Assumptions!BD35*'Revenue Buildup'!BD14</f>
        <v>132000</v>
      </c>
      <c r="BE30" s="69">
        <f>Assumptions!BE35*'Revenue Buildup'!BE14</f>
        <v>132000</v>
      </c>
      <c r="BF30" s="69">
        <f>Assumptions!BF35*'Revenue Buildup'!BF14</f>
        <v>135000</v>
      </c>
      <c r="BG30" s="69">
        <f>Assumptions!BG35*'Revenue Buildup'!BG14</f>
        <v>135000</v>
      </c>
      <c r="BH30" s="69">
        <f>Assumptions!BH35*'Revenue Buildup'!BH14</f>
        <v>135000</v>
      </c>
      <c r="BI30" s="69">
        <f>Assumptions!BI35*'Revenue Buildup'!BI14</f>
        <v>156000</v>
      </c>
      <c r="BJ30" s="69">
        <f>Assumptions!BJ35*'Revenue Buildup'!BJ14</f>
        <v>156000</v>
      </c>
      <c r="BK30" s="69">
        <f>Assumptions!BK35*'Revenue Buildup'!BK14</f>
        <v>156000</v>
      </c>
      <c r="BL30" s="69">
        <f>Assumptions!BL35*'Revenue Buildup'!BL14</f>
        <v>165000</v>
      </c>
      <c r="BM30" s="69">
        <f>Assumptions!BM35*'Revenue Buildup'!BM14</f>
        <v>165000</v>
      </c>
      <c r="BN30" s="69">
        <f>Assumptions!BN35*'Revenue Buildup'!BN14</f>
        <v>165000</v>
      </c>
      <c r="BO30" s="69">
        <f>Assumptions!BO35*'Revenue Buildup'!BO14</f>
        <v>168000</v>
      </c>
      <c r="BP30" s="69">
        <f>Assumptions!BP35*'Revenue Buildup'!BP14</f>
        <v>168000</v>
      </c>
      <c r="BQ30" s="69">
        <f>Assumptions!BQ35*'Revenue Buildup'!BQ14</f>
        <v>168000</v>
      </c>
      <c r="BR30" s="69">
        <f>Assumptions!BR35*'Revenue Buildup'!BR14</f>
        <v>174000</v>
      </c>
      <c r="BS30" s="69">
        <f>Assumptions!BS35*'Revenue Buildup'!BS14</f>
        <v>174000</v>
      </c>
      <c r="BT30" s="69">
        <f>Assumptions!BT35*'Revenue Buildup'!BT14</f>
        <v>174000</v>
      </c>
      <c r="BU30" s="11"/>
      <c r="BV30" s="37">
        <f t="shared" si="9"/>
        <v>0</v>
      </c>
      <c r="BW30" s="37">
        <f t="shared" si="9"/>
        <v>261000</v>
      </c>
      <c r="BX30" s="37">
        <f t="shared" si="9"/>
        <v>945000</v>
      </c>
      <c r="BY30" s="37">
        <f t="shared" si="9"/>
        <v>1548000</v>
      </c>
      <c r="BZ30" s="37">
        <f t="shared" si="9"/>
        <v>1989000</v>
      </c>
    </row>
    <row r="31" spans="1:78" x14ac:dyDescent="0.3">
      <c r="A31" s="30" t="str">
        <f>Assumptions!A36</f>
        <v xml:space="preserve">Expansion </v>
      </c>
      <c r="M31" s="69">
        <f>Assumptions!M36*'Revenue Buildup'!M15</f>
        <v>0</v>
      </c>
      <c r="N31" s="69">
        <f>Assumptions!N36*'Revenue Buildup'!N15</f>
        <v>0</v>
      </c>
      <c r="O31" s="69">
        <f>Assumptions!O36*'Revenue Buildup'!O15</f>
        <v>0</v>
      </c>
      <c r="P31" s="69">
        <f>Assumptions!P36*'Revenue Buildup'!P15</f>
        <v>0</v>
      </c>
      <c r="Q31" s="69">
        <f>Assumptions!Q36*'Revenue Buildup'!Q15</f>
        <v>0</v>
      </c>
      <c r="R31" s="69">
        <f>Assumptions!R36*'Revenue Buildup'!R15</f>
        <v>0</v>
      </c>
      <c r="S31" s="69">
        <f>Assumptions!S36*'Revenue Buildup'!S15</f>
        <v>0</v>
      </c>
      <c r="T31" s="69">
        <f>Assumptions!T36*'Revenue Buildup'!T15</f>
        <v>0</v>
      </c>
      <c r="U31" s="69">
        <f>Assumptions!U36*'Revenue Buildup'!U15</f>
        <v>0</v>
      </c>
      <c r="V31" s="69">
        <f>Assumptions!V36*'Revenue Buildup'!V15</f>
        <v>0</v>
      </c>
      <c r="W31" s="69">
        <f>Assumptions!W36*'Revenue Buildup'!W15</f>
        <v>0</v>
      </c>
      <c r="X31" s="69">
        <f>Assumptions!X36*'Revenue Buildup'!X15</f>
        <v>0</v>
      </c>
      <c r="Y31" s="69">
        <f>Assumptions!Y36*'Revenue Buildup'!Y15</f>
        <v>3600</v>
      </c>
      <c r="Z31" s="69">
        <f>Assumptions!Z36*'Revenue Buildup'!Z15</f>
        <v>3600</v>
      </c>
      <c r="AA31" s="69">
        <f>Assumptions!AA36*'Revenue Buildup'!AA15</f>
        <v>3600</v>
      </c>
      <c r="AB31" s="69">
        <f>Assumptions!AB36*'Revenue Buildup'!AB15</f>
        <v>4800</v>
      </c>
      <c r="AC31" s="69">
        <f>Assumptions!AC36*'Revenue Buildup'!AC15</f>
        <v>4800</v>
      </c>
      <c r="AD31" s="69">
        <f>Assumptions!AD36*'Revenue Buildup'!AD15</f>
        <v>4800</v>
      </c>
      <c r="AE31" s="69">
        <f>Assumptions!AE36*'Revenue Buildup'!AE15</f>
        <v>10800</v>
      </c>
      <c r="AF31" s="69">
        <f>Assumptions!AF36*'Revenue Buildup'!AF15</f>
        <v>10800</v>
      </c>
      <c r="AG31" s="69">
        <f>Assumptions!AG36*'Revenue Buildup'!AG15</f>
        <v>10800</v>
      </c>
      <c r="AH31" s="69">
        <f>Assumptions!AH36*'Revenue Buildup'!AH15</f>
        <v>15600</v>
      </c>
      <c r="AI31" s="69">
        <f>Assumptions!AI36*'Revenue Buildup'!AI15</f>
        <v>15600</v>
      </c>
      <c r="AJ31" s="69">
        <f>Assumptions!AJ36*'Revenue Buildup'!AJ15</f>
        <v>15600</v>
      </c>
      <c r="AK31" s="69">
        <f>Assumptions!AK36*'Revenue Buildup'!AK15</f>
        <v>18000</v>
      </c>
      <c r="AL31" s="69">
        <f>Assumptions!AL36*'Revenue Buildup'!AL15</f>
        <v>18000</v>
      </c>
      <c r="AM31" s="69">
        <f>Assumptions!AM36*'Revenue Buildup'!AM15</f>
        <v>18000</v>
      </c>
      <c r="AN31" s="69">
        <f>Assumptions!AN36*'Revenue Buildup'!AN15</f>
        <v>20400</v>
      </c>
      <c r="AO31" s="69">
        <f>Assumptions!AO36*'Revenue Buildup'!AO15</f>
        <v>20400</v>
      </c>
      <c r="AP31" s="69">
        <f>Assumptions!AP36*'Revenue Buildup'!AP15</f>
        <v>20400</v>
      </c>
      <c r="AQ31" s="69">
        <f>Assumptions!AQ36*'Revenue Buildup'!AQ15</f>
        <v>42000</v>
      </c>
      <c r="AR31" s="69">
        <f>Assumptions!AR36*'Revenue Buildup'!AR15</f>
        <v>42000</v>
      </c>
      <c r="AS31" s="69">
        <f>Assumptions!AS36*'Revenue Buildup'!AS15</f>
        <v>42000</v>
      </c>
      <c r="AT31" s="69">
        <f>Assumptions!AT36*'Revenue Buildup'!AT15</f>
        <v>45600</v>
      </c>
      <c r="AU31" s="69">
        <f>Assumptions!AU36*'Revenue Buildup'!AU15</f>
        <v>45600</v>
      </c>
      <c r="AV31" s="69">
        <f>Assumptions!AV36*'Revenue Buildup'!AV15</f>
        <v>45600</v>
      </c>
      <c r="AW31" s="69">
        <f>Assumptions!AW36*'Revenue Buildup'!AW15</f>
        <v>49200</v>
      </c>
      <c r="AX31" s="69">
        <f>Assumptions!AX36*'Revenue Buildup'!AX15</f>
        <v>49200</v>
      </c>
      <c r="AY31" s="69">
        <f>Assumptions!AY36*'Revenue Buildup'!AY15</f>
        <v>49200</v>
      </c>
      <c r="AZ31" s="69">
        <f>Assumptions!AZ36*'Revenue Buildup'!AZ15</f>
        <v>50400</v>
      </c>
      <c r="BA31" s="69">
        <f>Assumptions!BA36*'Revenue Buildup'!BA15</f>
        <v>50400</v>
      </c>
      <c r="BB31" s="69">
        <f>Assumptions!BB36*'Revenue Buildup'!BB15</f>
        <v>50400</v>
      </c>
      <c r="BC31" s="69">
        <f>Assumptions!BC36*'Revenue Buildup'!BC15</f>
        <v>52800</v>
      </c>
      <c r="BD31" s="69">
        <f>Assumptions!BD36*'Revenue Buildup'!BD15</f>
        <v>52800</v>
      </c>
      <c r="BE31" s="69">
        <f>Assumptions!BE36*'Revenue Buildup'!BE15</f>
        <v>52800</v>
      </c>
      <c r="BF31" s="69">
        <f>Assumptions!BF36*'Revenue Buildup'!BF15</f>
        <v>54000</v>
      </c>
      <c r="BG31" s="69">
        <f>Assumptions!BG36*'Revenue Buildup'!BG15</f>
        <v>54000</v>
      </c>
      <c r="BH31" s="69">
        <f>Assumptions!BH36*'Revenue Buildup'!BH15</f>
        <v>54000</v>
      </c>
      <c r="BI31" s="69">
        <f>Assumptions!BI36*'Revenue Buildup'!BI15</f>
        <v>62400</v>
      </c>
      <c r="BJ31" s="69">
        <f>Assumptions!BJ36*'Revenue Buildup'!BJ15</f>
        <v>62400</v>
      </c>
      <c r="BK31" s="69">
        <f>Assumptions!BK36*'Revenue Buildup'!BK15</f>
        <v>62400</v>
      </c>
      <c r="BL31" s="69">
        <f>Assumptions!BL36*'Revenue Buildup'!BL15</f>
        <v>66000</v>
      </c>
      <c r="BM31" s="69">
        <f>Assumptions!BM36*'Revenue Buildup'!BM15</f>
        <v>66000</v>
      </c>
      <c r="BN31" s="69">
        <f>Assumptions!BN36*'Revenue Buildup'!BN15</f>
        <v>66000</v>
      </c>
      <c r="BO31" s="69">
        <f>Assumptions!BO36*'Revenue Buildup'!BO15</f>
        <v>67200</v>
      </c>
      <c r="BP31" s="69">
        <f>Assumptions!BP36*'Revenue Buildup'!BP15</f>
        <v>67200</v>
      </c>
      <c r="BQ31" s="69">
        <f>Assumptions!BQ36*'Revenue Buildup'!BQ15</f>
        <v>67200</v>
      </c>
      <c r="BR31" s="69">
        <f>Assumptions!BR36*'Revenue Buildup'!BR15</f>
        <v>69600</v>
      </c>
      <c r="BS31" s="69">
        <f>Assumptions!BS36*'Revenue Buildup'!BS15</f>
        <v>69600</v>
      </c>
      <c r="BT31" s="69">
        <f>Assumptions!BT36*'Revenue Buildup'!BT15</f>
        <v>69600</v>
      </c>
      <c r="BU31" s="11"/>
      <c r="BV31" s="37">
        <f t="shared" si="9"/>
        <v>0</v>
      </c>
      <c r="BW31" s="37">
        <f t="shared" si="9"/>
        <v>104400</v>
      </c>
      <c r="BX31" s="37">
        <f t="shared" si="9"/>
        <v>378000</v>
      </c>
      <c r="BY31" s="37">
        <f t="shared" si="9"/>
        <v>619200</v>
      </c>
      <c r="BZ31" s="37">
        <f t="shared" si="9"/>
        <v>795600</v>
      </c>
    </row>
    <row r="32" spans="1:78" x14ac:dyDescent="0.3">
      <c r="A32" s="22" t="s">
        <v>196</v>
      </c>
      <c r="M32" s="131">
        <f>SUM(M29:M31)</f>
        <v>48000</v>
      </c>
      <c r="N32" s="131">
        <f t="shared" ref="N32:BT32" si="12">SUM(N29:N31)</f>
        <v>48000</v>
      </c>
      <c r="O32" s="131">
        <f t="shared" si="12"/>
        <v>48000</v>
      </c>
      <c r="P32" s="131">
        <f t="shared" si="12"/>
        <v>72000</v>
      </c>
      <c r="Q32" s="131">
        <f t="shared" si="12"/>
        <v>72000</v>
      </c>
      <c r="R32" s="131">
        <f t="shared" si="12"/>
        <v>72000</v>
      </c>
      <c r="S32" s="131">
        <f t="shared" si="12"/>
        <v>156000</v>
      </c>
      <c r="T32" s="131">
        <f t="shared" si="12"/>
        <v>156000</v>
      </c>
      <c r="U32" s="131">
        <f t="shared" si="12"/>
        <v>156000</v>
      </c>
      <c r="V32" s="131">
        <f t="shared" si="12"/>
        <v>228000</v>
      </c>
      <c r="W32" s="131">
        <f t="shared" si="12"/>
        <v>228000</v>
      </c>
      <c r="X32" s="131">
        <f t="shared" si="12"/>
        <v>228000</v>
      </c>
      <c r="Y32" s="131">
        <f t="shared" si="12"/>
        <v>264600</v>
      </c>
      <c r="Z32" s="131">
        <f t="shared" si="12"/>
        <v>264600</v>
      </c>
      <c r="AA32" s="131">
        <f t="shared" si="12"/>
        <v>264600</v>
      </c>
      <c r="AB32" s="131">
        <f t="shared" si="12"/>
        <v>316800</v>
      </c>
      <c r="AC32" s="131">
        <f t="shared" si="12"/>
        <v>316800</v>
      </c>
      <c r="AD32" s="131">
        <f t="shared" si="12"/>
        <v>316800</v>
      </c>
      <c r="AE32" s="131">
        <f t="shared" si="12"/>
        <v>637800</v>
      </c>
      <c r="AF32" s="131">
        <f t="shared" si="12"/>
        <v>637800</v>
      </c>
      <c r="AG32" s="131">
        <f t="shared" si="12"/>
        <v>637800</v>
      </c>
      <c r="AH32" s="131">
        <f t="shared" si="12"/>
        <v>714600</v>
      </c>
      <c r="AI32" s="131">
        <f t="shared" si="12"/>
        <v>714600</v>
      </c>
      <c r="AJ32" s="131">
        <f t="shared" si="12"/>
        <v>714600</v>
      </c>
      <c r="AK32" s="131">
        <f t="shared" si="12"/>
        <v>759000</v>
      </c>
      <c r="AL32" s="131">
        <f t="shared" si="12"/>
        <v>759000</v>
      </c>
      <c r="AM32" s="131">
        <f t="shared" si="12"/>
        <v>759000</v>
      </c>
      <c r="AN32" s="131">
        <f t="shared" si="12"/>
        <v>791400</v>
      </c>
      <c r="AO32" s="131">
        <f t="shared" si="12"/>
        <v>791400</v>
      </c>
      <c r="AP32" s="131">
        <f t="shared" si="12"/>
        <v>791400</v>
      </c>
      <c r="AQ32" s="131">
        <f t="shared" si="12"/>
        <v>903000</v>
      </c>
      <c r="AR32" s="131">
        <f t="shared" si="12"/>
        <v>903000</v>
      </c>
      <c r="AS32" s="131">
        <f t="shared" si="12"/>
        <v>903000</v>
      </c>
      <c r="AT32" s="131">
        <f t="shared" si="12"/>
        <v>939600</v>
      </c>
      <c r="AU32" s="131">
        <f t="shared" si="12"/>
        <v>939600</v>
      </c>
      <c r="AV32" s="131">
        <f t="shared" si="12"/>
        <v>939600</v>
      </c>
      <c r="AW32" s="131">
        <f t="shared" si="12"/>
        <v>1072200</v>
      </c>
      <c r="AX32" s="131">
        <f t="shared" si="12"/>
        <v>1072200</v>
      </c>
      <c r="AY32" s="131">
        <f t="shared" si="12"/>
        <v>1072200</v>
      </c>
      <c r="AZ32" s="131">
        <f t="shared" si="12"/>
        <v>1112400</v>
      </c>
      <c r="BA32" s="131">
        <f t="shared" si="12"/>
        <v>1112400</v>
      </c>
      <c r="BB32" s="131">
        <f t="shared" si="12"/>
        <v>1112400</v>
      </c>
      <c r="BC32" s="131">
        <f t="shared" si="12"/>
        <v>1144800</v>
      </c>
      <c r="BD32" s="131">
        <f t="shared" si="12"/>
        <v>1144800</v>
      </c>
      <c r="BE32" s="131">
        <f t="shared" si="12"/>
        <v>1144800</v>
      </c>
      <c r="BF32" s="131">
        <f t="shared" si="12"/>
        <v>1185000</v>
      </c>
      <c r="BG32" s="131">
        <f t="shared" si="12"/>
        <v>1185000</v>
      </c>
      <c r="BH32" s="131">
        <f t="shared" si="12"/>
        <v>1185000</v>
      </c>
      <c r="BI32" s="131">
        <f t="shared" si="12"/>
        <v>1334400</v>
      </c>
      <c r="BJ32" s="131">
        <f t="shared" si="12"/>
        <v>1334400</v>
      </c>
      <c r="BK32" s="131">
        <f t="shared" si="12"/>
        <v>1334400</v>
      </c>
      <c r="BL32" s="131">
        <f t="shared" si="12"/>
        <v>1371000</v>
      </c>
      <c r="BM32" s="131">
        <f t="shared" si="12"/>
        <v>1371000</v>
      </c>
      <c r="BN32" s="131">
        <f t="shared" si="12"/>
        <v>1371000</v>
      </c>
      <c r="BO32" s="131">
        <f t="shared" si="12"/>
        <v>1411200</v>
      </c>
      <c r="BP32" s="131">
        <f t="shared" si="12"/>
        <v>1411200</v>
      </c>
      <c r="BQ32" s="131">
        <f t="shared" si="12"/>
        <v>1411200</v>
      </c>
      <c r="BR32" s="131">
        <f t="shared" si="12"/>
        <v>1443600</v>
      </c>
      <c r="BS32" s="131">
        <f t="shared" si="12"/>
        <v>1443600</v>
      </c>
      <c r="BT32" s="131">
        <f t="shared" si="12"/>
        <v>1443600</v>
      </c>
      <c r="BU32" s="11"/>
      <c r="BV32" s="37"/>
      <c r="BW32" s="37"/>
      <c r="BX32" s="37"/>
      <c r="BY32" s="37"/>
      <c r="BZ32" s="37"/>
    </row>
    <row r="33" spans="1:78" x14ac:dyDescent="0.3">
      <c r="A33" s="29" t="str">
        <f>Assumptions!A37</f>
        <v>Headcount</v>
      </c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11"/>
    </row>
    <row r="34" spans="1:78" x14ac:dyDescent="0.3">
      <c r="A34" s="30" t="str">
        <f>Assumptions!A38</f>
        <v>Sales (SDR)</v>
      </c>
      <c r="C34" s="65" t="s">
        <v>76</v>
      </c>
      <c r="F34" s="60" t="str">
        <f>Assumptions!F38</f>
        <v>Leads/Sales Agent/Month</v>
      </c>
      <c r="G34" s="63">
        <f>Assumptions!G38</f>
        <v>50</v>
      </c>
      <c r="H34" s="63">
        <f>Assumptions!H38</f>
        <v>50</v>
      </c>
      <c r="M34" s="62">
        <f>Assumptions!M38</f>
        <v>50</v>
      </c>
      <c r="N34" s="62">
        <f>Assumptions!N38</f>
        <v>50</v>
      </c>
      <c r="O34" s="62">
        <f>Assumptions!O38</f>
        <v>50</v>
      </c>
      <c r="P34" s="62">
        <f>Assumptions!P38</f>
        <v>50</v>
      </c>
      <c r="Q34" s="62">
        <f>Assumptions!Q38</f>
        <v>50</v>
      </c>
      <c r="R34" s="62">
        <f>Assumptions!R38</f>
        <v>50</v>
      </c>
      <c r="S34" s="62">
        <f>Assumptions!S38</f>
        <v>50</v>
      </c>
      <c r="T34" s="62">
        <f>Assumptions!T38</f>
        <v>50</v>
      </c>
      <c r="U34" s="62">
        <f>Assumptions!U38</f>
        <v>50</v>
      </c>
      <c r="V34" s="62">
        <f>Assumptions!V38</f>
        <v>50</v>
      </c>
      <c r="W34" s="62">
        <f>Assumptions!W38</f>
        <v>50</v>
      </c>
      <c r="X34" s="62">
        <f>Assumptions!X38</f>
        <v>50</v>
      </c>
      <c r="Y34" s="62">
        <f>Assumptions!Y38</f>
        <v>50</v>
      </c>
      <c r="Z34" s="62">
        <f>Assumptions!Z38</f>
        <v>50</v>
      </c>
      <c r="AA34" s="62">
        <f>Assumptions!AA38</f>
        <v>50</v>
      </c>
      <c r="AB34" s="62">
        <f>Assumptions!AB38</f>
        <v>50</v>
      </c>
      <c r="AC34" s="62">
        <f>Assumptions!AC38</f>
        <v>50</v>
      </c>
      <c r="AD34" s="62">
        <f>Assumptions!AD38</f>
        <v>50</v>
      </c>
      <c r="AE34" s="62">
        <f>Assumptions!AE38</f>
        <v>50</v>
      </c>
      <c r="AF34" s="62">
        <f>Assumptions!AF38</f>
        <v>50</v>
      </c>
      <c r="AG34" s="62">
        <f>Assumptions!AG38</f>
        <v>50</v>
      </c>
      <c r="AH34" s="62">
        <f>Assumptions!AH38</f>
        <v>50</v>
      </c>
      <c r="AI34" s="62">
        <f>Assumptions!AI38</f>
        <v>50</v>
      </c>
      <c r="AJ34" s="62">
        <f>Assumptions!AJ38</f>
        <v>50</v>
      </c>
      <c r="AK34" s="62">
        <f>Assumptions!AK38</f>
        <v>50</v>
      </c>
      <c r="AL34" s="62">
        <f>Assumptions!AL38</f>
        <v>50</v>
      </c>
      <c r="AM34" s="62">
        <f>Assumptions!AM38</f>
        <v>50</v>
      </c>
      <c r="AN34" s="62">
        <f>Assumptions!AN38</f>
        <v>50</v>
      </c>
      <c r="AO34" s="62">
        <f>Assumptions!AO38</f>
        <v>50</v>
      </c>
      <c r="AP34" s="62">
        <f>Assumptions!AP38</f>
        <v>50</v>
      </c>
      <c r="AQ34" s="62">
        <f>Assumptions!AQ38</f>
        <v>50</v>
      </c>
      <c r="AR34" s="62">
        <f>Assumptions!AR38</f>
        <v>50</v>
      </c>
      <c r="AS34" s="62">
        <f>Assumptions!AS38</f>
        <v>50</v>
      </c>
      <c r="AT34" s="62">
        <f>Assumptions!AT38</f>
        <v>50</v>
      </c>
      <c r="AU34" s="62">
        <f>Assumptions!AU38</f>
        <v>50</v>
      </c>
      <c r="AV34" s="62">
        <f>Assumptions!AV38</f>
        <v>50</v>
      </c>
      <c r="AW34" s="62">
        <f>Assumptions!AW38</f>
        <v>50</v>
      </c>
      <c r="AX34" s="62">
        <f>Assumptions!AX38</f>
        <v>50</v>
      </c>
      <c r="AY34" s="62">
        <f>Assumptions!AY38</f>
        <v>50</v>
      </c>
      <c r="AZ34" s="62">
        <f>Assumptions!AZ38</f>
        <v>50</v>
      </c>
      <c r="BA34" s="62">
        <f>Assumptions!BA38</f>
        <v>50</v>
      </c>
      <c r="BB34" s="62">
        <f>Assumptions!BB38</f>
        <v>50</v>
      </c>
      <c r="BC34" s="62">
        <f>Assumptions!BC38</f>
        <v>50</v>
      </c>
      <c r="BD34" s="62">
        <f>Assumptions!BD38</f>
        <v>50</v>
      </c>
      <c r="BE34" s="62">
        <f>Assumptions!BE38</f>
        <v>50</v>
      </c>
      <c r="BF34" s="62">
        <f>Assumptions!BF38</f>
        <v>50</v>
      </c>
      <c r="BG34" s="62">
        <f>Assumptions!BG38</f>
        <v>50</v>
      </c>
      <c r="BH34" s="62">
        <f>Assumptions!BH38</f>
        <v>50</v>
      </c>
      <c r="BI34" s="62">
        <f>Assumptions!BI38</f>
        <v>50</v>
      </c>
      <c r="BJ34" s="62">
        <f>Assumptions!BJ38</f>
        <v>50</v>
      </c>
      <c r="BK34" s="62">
        <f>Assumptions!BK38</f>
        <v>50</v>
      </c>
      <c r="BL34" s="62">
        <f>Assumptions!BL38</f>
        <v>50</v>
      </c>
      <c r="BM34" s="62">
        <f>Assumptions!BM38</f>
        <v>50</v>
      </c>
      <c r="BN34" s="62">
        <f>Assumptions!BN38</f>
        <v>50</v>
      </c>
      <c r="BO34" s="62">
        <f>Assumptions!BO38</f>
        <v>50</v>
      </c>
      <c r="BP34" s="62">
        <f>Assumptions!BP38</f>
        <v>50</v>
      </c>
      <c r="BQ34" s="62">
        <f>Assumptions!BQ38</f>
        <v>50</v>
      </c>
      <c r="BR34" s="62">
        <f>Assumptions!BR38</f>
        <v>50</v>
      </c>
      <c r="BS34" s="62">
        <f>Assumptions!BS38</f>
        <v>50</v>
      </c>
      <c r="BT34" s="62">
        <f>Assumptions!BT38</f>
        <v>50</v>
      </c>
      <c r="BU34" s="11"/>
    </row>
    <row r="35" spans="1:78" x14ac:dyDescent="0.3">
      <c r="A35" s="30" t="str">
        <f>Assumptions!A39</f>
        <v>Sales Manager</v>
      </c>
      <c r="C35" s="65" t="s">
        <v>76</v>
      </c>
      <c r="F35" s="60" t="str">
        <f>Assumptions!F39</f>
        <v>Sales Agents/Sales Manager</v>
      </c>
      <c r="G35" s="63">
        <f>Assumptions!G39</f>
        <v>10</v>
      </c>
      <c r="H35" s="63">
        <f>Assumptions!H39</f>
        <v>10</v>
      </c>
      <c r="M35" s="62">
        <f>Assumptions!M39</f>
        <v>10</v>
      </c>
      <c r="N35" s="62">
        <f>Assumptions!N39</f>
        <v>10</v>
      </c>
      <c r="O35" s="62">
        <f>Assumptions!O39</f>
        <v>10</v>
      </c>
      <c r="P35" s="62">
        <f>Assumptions!P39</f>
        <v>10</v>
      </c>
      <c r="Q35" s="62">
        <f>Assumptions!Q39</f>
        <v>10</v>
      </c>
      <c r="R35" s="62">
        <f>Assumptions!R39</f>
        <v>10</v>
      </c>
      <c r="S35" s="62">
        <f>Assumptions!S39</f>
        <v>10</v>
      </c>
      <c r="T35" s="62">
        <f>Assumptions!T39</f>
        <v>10</v>
      </c>
      <c r="U35" s="62">
        <f>Assumptions!U39</f>
        <v>10</v>
      </c>
      <c r="V35" s="62">
        <f>Assumptions!V39</f>
        <v>10</v>
      </c>
      <c r="W35" s="62">
        <f>Assumptions!W39</f>
        <v>10</v>
      </c>
      <c r="X35" s="62">
        <f>Assumptions!X39</f>
        <v>10</v>
      </c>
      <c r="Y35" s="62">
        <f>Assumptions!Y39</f>
        <v>10</v>
      </c>
      <c r="Z35" s="62">
        <f>Assumptions!Z39</f>
        <v>10</v>
      </c>
      <c r="AA35" s="62">
        <f>Assumptions!AA39</f>
        <v>10</v>
      </c>
      <c r="AB35" s="62">
        <f>Assumptions!AB39</f>
        <v>10</v>
      </c>
      <c r="AC35" s="62">
        <f>Assumptions!AC39</f>
        <v>10</v>
      </c>
      <c r="AD35" s="62">
        <f>Assumptions!AD39</f>
        <v>10</v>
      </c>
      <c r="AE35" s="62">
        <f>Assumptions!AE39</f>
        <v>10</v>
      </c>
      <c r="AF35" s="62">
        <f>Assumptions!AF39</f>
        <v>10</v>
      </c>
      <c r="AG35" s="62">
        <f>Assumptions!AG39</f>
        <v>10</v>
      </c>
      <c r="AH35" s="62">
        <f>Assumptions!AH39</f>
        <v>10</v>
      </c>
      <c r="AI35" s="62">
        <f>Assumptions!AI39</f>
        <v>10</v>
      </c>
      <c r="AJ35" s="62">
        <f>Assumptions!AJ39</f>
        <v>10</v>
      </c>
      <c r="AK35" s="62">
        <f>Assumptions!AK39</f>
        <v>10</v>
      </c>
      <c r="AL35" s="62">
        <f>Assumptions!AL39</f>
        <v>10</v>
      </c>
      <c r="AM35" s="62">
        <f>Assumptions!AM39</f>
        <v>10</v>
      </c>
      <c r="AN35" s="62">
        <f>Assumptions!AN39</f>
        <v>10</v>
      </c>
      <c r="AO35" s="62">
        <f>Assumptions!AO39</f>
        <v>10</v>
      </c>
      <c r="AP35" s="62">
        <f>Assumptions!AP39</f>
        <v>10</v>
      </c>
      <c r="AQ35" s="62">
        <f>Assumptions!AQ39</f>
        <v>10</v>
      </c>
      <c r="AR35" s="62">
        <f>Assumptions!AR39</f>
        <v>10</v>
      </c>
      <c r="AS35" s="62">
        <f>Assumptions!AS39</f>
        <v>10</v>
      </c>
      <c r="AT35" s="62">
        <f>Assumptions!AT39</f>
        <v>10</v>
      </c>
      <c r="AU35" s="62">
        <f>Assumptions!AU39</f>
        <v>10</v>
      </c>
      <c r="AV35" s="62">
        <f>Assumptions!AV39</f>
        <v>10</v>
      </c>
      <c r="AW35" s="62">
        <f>Assumptions!AW39</f>
        <v>10</v>
      </c>
      <c r="AX35" s="62">
        <f>Assumptions!AX39</f>
        <v>10</v>
      </c>
      <c r="AY35" s="62">
        <f>Assumptions!AY39</f>
        <v>10</v>
      </c>
      <c r="AZ35" s="62">
        <f>Assumptions!AZ39</f>
        <v>10</v>
      </c>
      <c r="BA35" s="62">
        <f>Assumptions!BA39</f>
        <v>10</v>
      </c>
      <c r="BB35" s="62">
        <f>Assumptions!BB39</f>
        <v>10</v>
      </c>
      <c r="BC35" s="62">
        <f>Assumptions!BC39</f>
        <v>10</v>
      </c>
      <c r="BD35" s="62">
        <f>Assumptions!BD39</f>
        <v>10</v>
      </c>
      <c r="BE35" s="62">
        <f>Assumptions!BE39</f>
        <v>10</v>
      </c>
      <c r="BF35" s="62">
        <f>Assumptions!BF39</f>
        <v>10</v>
      </c>
      <c r="BG35" s="62">
        <f>Assumptions!BG39</f>
        <v>10</v>
      </c>
      <c r="BH35" s="62">
        <f>Assumptions!BH39</f>
        <v>10</v>
      </c>
      <c r="BI35" s="62">
        <f>Assumptions!BI39</f>
        <v>10</v>
      </c>
      <c r="BJ35" s="62">
        <f>Assumptions!BJ39</f>
        <v>10</v>
      </c>
      <c r="BK35" s="62">
        <f>Assumptions!BK39</f>
        <v>10</v>
      </c>
      <c r="BL35" s="62">
        <f>Assumptions!BL39</f>
        <v>10</v>
      </c>
      <c r="BM35" s="62">
        <f>Assumptions!BM39</f>
        <v>10</v>
      </c>
      <c r="BN35" s="62">
        <f>Assumptions!BN39</f>
        <v>10</v>
      </c>
      <c r="BO35" s="62">
        <f>Assumptions!BO39</f>
        <v>10</v>
      </c>
      <c r="BP35" s="62">
        <f>Assumptions!BP39</f>
        <v>10</v>
      </c>
      <c r="BQ35" s="62">
        <f>Assumptions!BQ39</f>
        <v>10</v>
      </c>
      <c r="BR35" s="62">
        <f>Assumptions!BR39</f>
        <v>10</v>
      </c>
      <c r="BS35" s="62">
        <f>Assumptions!BS39</f>
        <v>10</v>
      </c>
      <c r="BT35" s="62">
        <f>Assumptions!BT39</f>
        <v>10</v>
      </c>
      <c r="BU35" s="11"/>
    </row>
    <row r="36" spans="1:78" x14ac:dyDescent="0.3">
      <c r="A36" t="s">
        <v>69</v>
      </c>
      <c r="M36" s="23">
        <f t="shared" ref="M36:AR36" si="13">ROUND(M26/M34,0)</f>
        <v>2</v>
      </c>
      <c r="N36" s="23">
        <f t="shared" si="13"/>
        <v>2</v>
      </c>
      <c r="O36" s="23">
        <f t="shared" si="13"/>
        <v>2</v>
      </c>
      <c r="P36" s="23">
        <f t="shared" si="13"/>
        <v>3</v>
      </c>
      <c r="Q36" s="23">
        <f t="shared" si="13"/>
        <v>3</v>
      </c>
      <c r="R36" s="23">
        <f t="shared" si="13"/>
        <v>3</v>
      </c>
      <c r="S36" s="23">
        <f t="shared" si="13"/>
        <v>5</v>
      </c>
      <c r="T36" s="23">
        <f t="shared" si="13"/>
        <v>5</v>
      </c>
      <c r="U36" s="23">
        <f t="shared" si="13"/>
        <v>5</v>
      </c>
      <c r="V36" s="23">
        <f t="shared" si="13"/>
        <v>8</v>
      </c>
      <c r="W36" s="23">
        <f t="shared" si="13"/>
        <v>8</v>
      </c>
      <c r="X36" s="23">
        <f t="shared" si="13"/>
        <v>8</v>
      </c>
      <c r="Y36" s="23">
        <f t="shared" si="13"/>
        <v>9</v>
      </c>
      <c r="Z36" s="23">
        <f t="shared" si="13"/>
        <v>9</v>
      </c>
      <c r="AA36" s="23">
        <f t="shared" si="13"/>
        <v>9</v>
      </c>
      <c r="AB36" s="23">
        <f t="shared" si="13"/>
        <v>10</v>
      </c>
      <c r="AC36" s="23">
        <f t="shared" si="13"/>
        <v>10</v>
      </c>
      <c r="AD36" s="23">
        <f t="shared" si="13"/>
        <v>10</v>
      </c>
      <c r="AE36" s="23">
        <f t="shared" si="13"/>
        <v>20</v>
      </c>
      <c r="AF36" s="23">
        <f t="shared" si="13"/>
        <v>20</v>
      </c>
      <c r="AG36" s="23">
        <f t="shared" si="13"/>
        <v>20</v>
      </c>
      <c r="AH36" s="23">
        <f t="shared" si="13"/>
        <v>22</v>
      </c>
      <c r="AI36" s="23">
        <f t="shared" si="13"/>
        <v>22</v>
      </c>
      <c r="AJ36" s="23">
        <f t="shared" si="13"/>
        <v>22</v>
      </c>
      <c r="AK36" s="23">
        <f t="shared" si="13"/>
        <v>23</v>
      </c>
      <c r="AL36" s="23">
        <f t="shared" si="13"/>
        <v>23</v>
      </c>
      <c r="AM36" s="23">
        <f t="shared" si="13"/>
        <v>23</v>
      </c>
      <c r="AN36" s="23">
        <f t="shared" si="13"/>
        <v>24</v>
      </c>
      <c r="AO36" s="23">
        <f t="shared" si="13"/>
        <v>24</v>
      </c>
      <c r="AP36" s="23">
        <f t="shared" si="13"/>
        <v>24</v>
      </c>
      <c r="AQ36" s="23">
        <f t="shared" si="13"/>
        <v>25</v>
      </c>
      <c r="AR36" s="23">
        <f t="shared" si="13"/>
        <v>25</v>
      </c>
      <c r="AS36" s="23">
        <f t="shared" ref="AS36:BT36" si="14">ROUND(AS26/AS34,0)</f>
        <v>25</v>
      </c>
      <c r="AT36" s="23">
        <f t="shared" si="14"/>
        <v>26</v>
      </c>
      <c r="AU36" s="23">
        <f t="shared" si="14"/>
        <v>26</v>
      </c>
      <c r="AV36" s="23">
        <f t="shared" si="14"/>
        <v>26</v>
      </c>
      <c r="AW36" s="23">
        <f t="shared" si="14"/>
        <v>30</v>
      </c>
      <c r="AX36" s="23">
        <f t="shared" si="14"/>
        <v>30</v>
      </c>
      <c r="AY36" s="23">
        <f t="shared" si="14"/>
        <v>30</v>
      </c>
      <c r="AZ36" s="23">
        <f t="shared" si="14"/>
        <v>31</v>
      </c>
      <c r="BA36" s="23">
        <f t="shared" si="14"/>
        <v>31</v>
      </c>
      <c r="BB36" s="23">
        <f t="shared" si="14"/>
        <v>31</v>
      </c>
      <c r="BC36" s="23">
        <f t="shared" si="14"/>
        <v>32</v>
      </c>
      <c r="BD36" s="23">
        <f t="shared" si="14"/>
        <v>32</v>
      </c>
      <c r="BE36" s="23">
        <f t="shared" si="14"/>
        <v>32</v>
      </c>
      <c r="BF36" s="23">
        <f t="shared" si="14"/>
        <v>33</v>
      </c>
      <c r="BG36" s="23">
        <f t="shared" si="14"/>
        <v>33</v>
      </c>
      <c r="BH36" s="23">
        <f t="shared" si="14"/>
        <v>33</v>
      </c>
      <c r="BI36" s="23">
        <f t="shared" si="14"/>
        <v>37</v>
      </c>
      <c r="BJ36" s="23">
        <f t="shared" si="14"/>
        <v>37</v>
      </c>
      <c r="BK36" s="23">
        <f t="shared" si="14"/>
        <v>37</v>
      </c>
      <c r="BL36" s="23">
        <f t="shared" si="14"/>
        <v>38</v>
      </c>
      <c r="BM36" s="23">
        <f t="shared" si="14"/>
        <v>38</v>
      </c>
      <c r="BN36" s="23">
        <f t="shared" si="14"/>
        <v>38</v>
      </c>
      <c r="BO36" s="23">
        <f t="shared" si="14"/>
        <v>39</v>
      </c>
      <c r="BP36" s="23">
        <f t="shared" si="14"/>
        <v>39</v>
      </c>
      <c r="BQ36" s="23">
        <f t="shared" si="14"/>
        <v>39</v>
      </c>
      <c r="BR36" s="23">
        <f t="shared" si="14"/>
        <v>40</v>
      </c>
      <c r="BS36" s="23">
        <f t="shared" si="14"/>
        <v>40</v>
      </c>
      <c r="BT36" s="23">
        <f t="shared" si="14"/>
        <v>40</v>
      </c>
      <c r="BU36" s="11"/>
    </row>
    <row r="37" spans="1:78" x14ac:dyDescent="0.3">
      <c r="A37" s="30" t="s">
        <v>74</v>
      </c>
      <c r="M37" s="23">
        <f>ROUND(M36/M35,0)</f>
        <v>0</v>
      </c>
      <c r="N37" s="23">
        <f t="shared" ref="N37:Q37" si="15">ROUND(N36/N35,0)</f>
        <v>0</v>
      </c>
      <c r="O37" s="23">
        <f t="shared" si="15"/>
        <v>0</v>
      </c>
      <c r="P37" s="23">
        <f t="shared" si="15"/>
        <v>0</v>
      </c>
      <c r="Q37" s="23">
        <f t="shared" si="15"/>
        <v>0</v>
      </c>
      <c r="R37" s="23">
        <f t="shared" ref="R37" si="16">ROUND(R36/R35,0)</f>
        <v>0</v>
      </c>
      <c r="S37" s="23">
        <f t="shared" ref="S37" si="17">ROUND(S36/S35,0)</f>
        <v>1</v>
      </c>
      <c r="T37" s="23">
        <f t="shared" ref="T37" si="18">ROUND(T36/T35,0)</f>
        <v>1</v>
      </c>
      <c r="U37" s="23">
        <f t="shared" ref="U37" si="19">ROUND(U36/U35,0)</f>
        <v>1</v>
      </c>
      <c r="V37" s="23">
        <f t="shared" ref="V37" si="20">ROUND(V36/V35,0)</f>
        <v>1</v>
      </c>
      <c r="W37" s="23">
        <f t="shared" ref="W37" si="21">ROUND(W36/W35,0)</f>
        <v>1</v>
      </c>
      <c r="X37" s="23">
        <f t="shared" ref="X37" si="22">ROUND(X36/X35,0)</f>
        <v>1</v>
      </c>
      <c r="Y37" s="23">
        <f t="shared" ref="Y37" si="23">ROUND(Y36/Y35,0)</f>
        <v>1</v>
      </c>
      <c r="Z37" s="23">
        <f t="shared" ref="Z37" si="24">ROUND(Z36/Z35,0)</f>
        <v>1</v>
      </c>
      <c r="AA37" s="23">
        <f t="shared" ref="AA37" si="25">ROUND(AA36/AA35,0)</f>
        <v>1</v>
      </c>
      <c r="AB37" s="23">
        <f t="shared" ref="AB37" si="26">ROUND(AB36/AB35,0)</f>
        <v>1</v>
      </c>
      <c r="AC37" s="23">
        <f t="shared" ref="AC37" si="27">ROUND(AC36/AC35,0)</f>
        <v>1</v>
      </c>
      <c r="AD37" s="23">
        <f t="shared" ref="AD37" si="28">ROUND(AD36/AD35,0)</f>
        <v>1</v>
      </c>
      <c r="AE37" s="23">
        <f t="shared" ref="AE37" si="29">ROUND(AE36/AE35,0)</f>
        <v>2</v>
      </c>
      <c r="AF37" s="23">
        <f t="shared" ref="AF37" si="30">ROUND(AF36/AF35,0)</f>
        <v>2</v>
      </c>
      <c r="AG37" s="23">
        <f t="shared" ref="AG37" si="31">ROUND(AG36/AG35,0)</f>
        <v>2</v>
      </c>
      <c r="AH37" s="23">
        <f t="shared" ref="AH37" si="32">ROUND(AH36/AH35,0)</f>
        <v>2</v>
      </c>
      <c r="AI37" s="23">
        <f t="shared" ref="AI37" si="33">ROUND(AI36/AI35,0)</f>
        <v>2</v>
      </c>
      <c r="AJ37" s="23">
        <f t="shared" ref="AJ37" si="34">ROUND(AJ36/AJ35,0)</f>
        <v>2</v>
      </c>
      <c r="AK37" s="23">
        <f t="shared" ref="AK37" si="35">ROUND(AK36/AK35,0)</f>
        <v>2</v>
      </c>
      <c r="AL37" s="23">
        <f t="shared" ref="AL37" si="36">ROUND(AL36/AL35,0)</f>
        <v>2</v>
      </c>
      <c r="AM37" s="23">
        <f t="shared" ref="AM37" si="37">ROUND(AM36/AM35,0)</f>
        <v>2</v>
      </c>
      <c r="AN37" s="23">
        <f t="shared" ref="AN37" si="38">ROUND(AN36/AN35,0)</f>
        <v>2</v>
      </c>
      <c r="AO37" s="23">
        <f t="shared" ref="AO37" si="39">ROUND(AO36/AO35,0)</f>
        <v>2</v>
      </c>
      <c r="AP37" s="23">
        <f t="shared" ref="AP37" si="40">ROUND(AP36/AP35,0)</f>
        <v>2</v>
      </c>
      <c r="AQ37" s="23">
        <f t="shared" ref="AQ37" si="41">ROUND(AQ36/AQ35,0)</f>
        <v>3</v>
      </c>
      <c r="AR37" s="23">
        <f t="shared" ref="AR37" si="42">ROUND(AR36/AR35,0)</f>
        <v>3</v>
      </c>
      <c r="AS37" s="23">
        <f t="shared" ref="AS37" si="43">ROUND(AS36/AS35,0)</f>
        <v>3</v>
      </c>
      <c r="AT37" s="23">
        <f t="shared" ref="AT37" si="44">ROUND(AT36/AT35,0)</f>
        <v>3</v>
      </c>
      <c r="AU37" s="23">
        <f t="shared" ref="AU37" si="45">ROUND(AU36/AU35,0)</f>
        <v>3</v>
      </c>
      <c r="AV37" s="23">
        <f t="shared" ref="AV37" si="46">ROUND(AV36/AV35,0)</f>
        <v>3</v>
      </c>
      <c r="AW37" s="23">
        <f t="shared" ref="AW37" si="47">ROUND(AW36/AW35,0)</f>
        <v>3</v>
      </c>
      <c r="AX37" s="23">
        <f t="shared" ref="AX37" si="48">ROUND(AX36/AX35,0)</f>
        <v>3</v>
      </c>
      <c r="AY37" s="23">
        <f t="shared" ref="AY37" si="49">ROUND(AY36/AY35,0)</f>
        <v>3</v>
      </c>
      <c r="AZ37" s="23">
        <f t="shared" ref="AZ37" si="50">ROUND(AZ36/AZ35,0)</f>
        <v>3</v>
      </c>
      <c r="BA37" s="23">
        <f t="shared" ref="BA37" si="51">ROUND(BA36/BA35,0)</f>
        <v>3</v>
      </c>
      <c r="BB37" s="23">
        <f t="shared" ref="BB37" si="52">ROUND(BB36/BB35,0)</f>
        <v>3</v>
      </c>
      <c r="BC37" s="23">
        <f t="shared" ref="BC37" si="53">ROUND(BC36/BC35,0)</f>
        <v>3</v>
      </c>
      <c r="BD37" s="23">
        <f t="shared" ref="BD37" si="54">ROUND(BD36/BD35,0)</f>
        <v>3</v>
      </c>
      <c r="BE37" s="23">
        <f t="shared" ref="BE37" si="55">ROUND(BE36/BE35,0)</f>
        <v>3</v>
      </c>
      <c r="BF37" s="23">
        <f t="shared" ref="BF37" si="56">ROUND(BF36/BF35,0)</f>
        <v>3</v>
      </c>
      <c r="BG37" s="23">
        <f t="shared" ref="BG37" si="57">ROUND(BG36/BG35,0)</f>
        <v>3</v>
      </c>
      <c r="BH37" s="23">
        <f t="shared" ref="BH37" si="58">ROUND(BH36/BH35,0)</f>
        <v>3</v>
      </c>
      <c r="BI37" s="23">
        <f t="shared" ref="BI37" si="59">ROUND(BI36/BI35,0)</f>
        <v>4</v>
      </c>
      <c r="BJ37" s="23">
        <f t="shared" ref="BJ37" si="60">ROUND(BJ36/BJ35,0)</f>
        <v>4</v>
      </c>
      <c r="BK37" s="23">
        <f t="shared" ref="BK37" si="61">ROUND(BK36/BK35,0)</f>
        <v>4</v>
      </c>
      <c r="BL37" s="23">
        <f t="shared" ref="BL37" si="62">ROUND(BL36/BL35,0)</f>
        <v>4</v>
      </c>
      <c r="BM37" s="23">
        <f t="shared" ref="BM37" si="63">ROUND(BM36/BM35,0)</f>
        <v>4</v>
      </c>
      <c r="BN37" s="23">
        <f t="shared" ref="BN37" si="64">ROUND(BN36/BN35,0)</f>
        <v>4</v>
      </c>
      <c r="BO37" s="23">
        <f t="shared" ref="BO37" si="65">ROUND(BO36/BO35,0)</f>
        <v>4</v>
      </c>
      <c r="BP37" s="23">
        <f t="shared" ref="BP37" si="66">ROUND(BP36/BP35,0)</f>
        <v>4</v>
      </c>
      <c r="BQ37" s="23">
        <f t="shared" ref="BQ37" si="67">ROUND(BQ36/BQ35,0)</f>
        <v>4</v>
      </c>
      <c r="BR37" s="23">
        <f t="shared" ref="BR37" si="68">ROUND(BR36/BR35,0)</f>
        <v>4</v>
      </c>
      <c r="BS37" s="23">
        <f t="shared" ref="BS37" si="69">ROUND(BS36/BS35,0)</f>
        <v>4</v>
      </c>
      <c r="BT37" s="23">
        <f t="shared" ref="BT37" si="70">ROUND(BT36/BT35,0)</f>
        <v>4</v>
      </c>
      <c r="BU37" s="11"/>
    </row>
    <row r="38" spans="1:78" x14ac:dyDescent="0.3">
      <c r="A38" s="29" t="str">
        <f>Assumptions!A40</f>
        <v>Sales Team Salary</v>
      </c>
      <c r="BU38" s="11"/>
    </row>
    <row r="39" spans="1:78" x14ac:dyDescent="0.3">
      <c r="A39" s="30" t="str">
        <f>Assumptions!A41</f>
        <v>Sales (SDR)</v>
      </c>
      <c r="F39" s="60" t="str">
        <f>Assumptions!F41</f>
        <v>Monthly Salary/Headcount</v>
      </c>
      <c r="G39" s="63">
        <f>Assumptions!G41</f>
        <v>50000</v>
      </c>
      <c r="H39" s="64">
        <f>Assumptions!H41</f>
        <v>0.15</v>
      </c>
      <c r="I39" s="30" t="str">
        <f>Assumptions!I41</f>
        <v>Annual Increment</v>
      </c>
      <c r="M39" s="66">
        <f>($G39*M36)*(1+$H39)^(M$3-1)</f>
        <v>100000</v>
      </c>
      <c r="N39" s="66">
        <f t="shared" ref="N39:BT39" si="71">($G39*N36)*(1+$H39)^(N$3-1)</f>
        <v>100000</v>
      </c>
      <c r="O39" s="66">
        <f t="shared" si="71"/>
        <v>100000</v>
      </c>
      <c r="P39" s="66">
        <f t="shared" si="71"/>
        <v>150000</v>
      </c>
      <c r="Q39" s="66">
        <f t="shared" si="71"/>
        <v>150000</v>
      </c>
      <c r="R39" s="66">
        <f t="shared" si="71"/>
        <v>150000</v>
      </c>
      <c r="S39" s="66">
        <f t="shared" si="71"/>
        <v>250000</v>
      </c>
      <c r="T39" s="66">
        <f t="shared" si="71"/>
        <v>250000</v>
      </c>
      <c r="U39" s="66">
        <f t="shared" si="71"/>
        <v>250000</v>
      </c>
      <c r="V39" s="66">
        <f t="shared" si="71"/>
        <v>400000</v>
      </c>
      <c r="W39" s="66">
        <f t="shared" si="71"/>
        <v>400000</v>
      </c>
      <c r="X39" s="66">
        <f t="shared" si="71"/>
        <v>400000</v>
      </c>
      <c r="Y39" s="66">
        <f t="shared" si="71"/>
        <v>517499.99999999994</v>
      </c>
      <c r="Z39" s="66">
        <f t="shared" si="71"/>
        <v>517499.99999999994</v>
      </c>
      <c r="AA39" s="66">
        <f t="shared" si="71"/>
        <v>517499.99999999994</v>
      </c>
      <c r="AB39" s="66">
        <f t="shared" si="71"/>
        <v>575000</v>
      </c>
      <c r="AC39" s="66">
        <f t="shared" si="71"/>
        <v>575000</v>
      </c>
      <c r="AD39" s="66">
        <f t="shared" si="71"/>
        <v>575000</v>
      </c>
      <c r="AE39" s="66">
        <f t="shared" si="71"/>
        <v>1150000</v>
      </c>
      <c r="AF39" s="66">
        <f t="shared" si="71"/>
        <v>1150000</v>
      </c>
      <c r="AG39" s="66">
        <f t="shared" si="71"/>
        <v>1150000</v>
      </c>
      <c r="AH39" s="66">
        <f t="shared" si="71"/>
        <v>1265000</v>
      </c>
      <c r="AI39" s="66">
        <f t="shared" si="71"/>
        <v>1265000</v>
      </c>
      <c r="AJ39" s="66">
        <f t="shared" si="71"/>
        <v>1265000</v>
      </c>
      <c r="AK39" s="66">
        <f t="shared" si="71"/>
        <v>1520874.9999999998</v>
      </c>
      <c r="AL39" s="66">
        <f t="shared" si="71"/>
        <v>1520874.9999999998</v>
      </c>
      <c r="AM39" s="66">
        <f t="shared" si="71"/>
        <v>1520874.9999999998</v>
      </c>
      <c r="AN39" s="66">
        <f t="shared" si="71"/>
        <v>1586999.9999999998</v>
      </c>
      <c r="AO39" s="66">
        <f t="shared" si="71"/>
        <v>1586999.9999999998</v>
      </c>
      <c r="AP39" s="66">
        <f t="shared" si="71"/>
        <v>1586999.9999999998</v>
      </c>
      <c r="AQ39" s="66">
        <f t="shared" si="71"/>
        <v>1653124.9999999998</v>
      </c>
      <c r="AR39" s="66">
        <f t="shared" si="71"/>
        <v>1653124.9999999998</v>
      </c>
      <c r="AS39" s="66">
        <f t="shared" si="71"/>
        <v>1653124.9999999998</v>
      </c>
      <c r="AT39" s="66">
        <f t="shared" si="71"/>
        <v>1719249.9999999998</v>
      </c>
      <c r="AU39" s="66">
        <f t="shared" si="71"/>
        <v>1719249.9999999998</v>
      </c>
      <c r="AV39" s="66">
        <f t="shared" si="71"/>
        <v>1719249.9999999998</v>
      </c>
      <c r="AW39" s="66">
        <f t="shared" si="71"/>
        <v>2281312.4999999991</v>
      </c>
      <c r="AX39" s="66">
        <f t="shared" si="71"/>
        <v>2281312.4999999991</v>
      </c>
      <c r="AY39" s="66">
        <f t="shared" si="71"/>
        <v>2281312.4999999991</v>
      </c>
      <c r="AZ39" s="66">
        <f t="shared" si="71"/>
        <v>2357356.2499999991</v>
      </c>
      <c r="BA39" s="66">
        <f t="shared" si="71"/>
        <v>2357356.2499999991</v>
      </c>
      <c r="BB39" s="66">
        <f t="shared" si="71"/>
        <v>2357356.2499999991</v>
      </c>
      <c r="BC39" s="66">
        <f t="shared" si="71"/>
        <v>2433399.9999999991</v>
      </c>
      <c r="BD39" s="66">
        <f t="shared" si="71"/>
        <v>2433399.9999999991</v>
      </c>
      <c r="BE39" s="66">
        <f t="shared" si="71"/>
        <v>2433399.9999999991</v>
      </c>
      <c r="BF39" s="66">
        <f t="shared" si="71"/>
        <v>2509443.7499999991</v>
      </c>
      <c r="BG39" s="66">
        <f t="shared" si="71"/>
        <v>2509443.7499999991</v>
      </c>
      <c r="BH39" s="66">
        <f t="shared" si="71"/>
        <v>2509443.7499999991</v>
      </c>
      <c r="BI39" s="66">
        <f t="shared" si="71"/>
        <v>3235661.5624999991</v>
      </c>
      <c r="BJ39" s="66">
        <f t="shared" si="71"/>
        <v>3235661.5624999991</v>
      </c>
      <c r="BK39" s="66">
        <f t="shared" si="71"/>
        <v>3235661.5624999991</v>
      </c>
      <c r="BL39" s="66">
        <f t="shared" si="71"/>
        <v>3323111.8749999991</v>
      </c>
      <c r="BM39" s="66">
        <f t="shared" si="71"/>
        <v>3323111.8749999991</v>
      </c>
      <c r="BN39" s="66">
        <f t="shared" si="71"/>
        <v>3323111.8749999991</v>
      </c>
      <c r="BO39" s="66">
        <f t="shared" si="71"/>
        <v>3410562.1874999991</v>
      </c>
      <c r="BP39" s="66">
        <f t="shared" si="71"/>
        <v>3410562.1874999991</v>
      </c>
      <c r="BQ39" s="66">
        <f t="shared" si="71"/>
        <v>3410562.1874999991</v>
      </c>
      <c r="BR39" s="66">
        <f t="shared" si="71"/>
        <v>3498012.4999999991</v>
      </c>
      <c r="BS39" s="66">
        <f t="shared" si="71"/>
        <v>3498012.4999999991</v>
      </c>
      <c r="BT39" s="66">
        <f t="shared" si="71"/>
        <v>3498012.4999999991</v>
      </c>
      <c r="BU39" s="11"/>
      <c r="BV39" s="37">
        <f t="shared" ref="BV39:BZ56" si="72">SUMIF($M$3:$BT$3,BV$3,$M39:$BT39)</f>
        <v>2700000</v>
      </c>
      <c r="BW39" s="37">
        <f t="shared" si="72"/>
        <v>10522500</v>
      </c>
      <c r="BX39" s="37">
        <f t="shared" si="72"/>
        <v>19440749.999999996</v>
      </c>
      <c r="BY39" s="37">
        <f t="shared" si="72"/>
        <v>28744537.499999996</v>
      </c>
      <c r="BZ39" s="37">
        <f t="shared" si="72"/>
        <v>40402044.374999993</v>
      </c>
    </row>
    <row r="40" spans="1:78" x14ac:dyDescent="0.3">
      <c r="A40" s="30" t="str">
        <f>Assumptions!A42</f>
        <v>Sales Manager</v>
      </c>
      <c r="F40" s="60" t="str">
        <f>Assumptions!F42</f>
        <v>Monthly Salary/Headcount</v>
      </c>
      <c r="G40" s="63">
        <v>70000</v>
      </c>
      <c r="H40" s="64">
        <f>Assumptions!H42</f>
        <v>0.15</v>
      </c>
      <c r="I40" s="30" t="str">
        <f>Assumptions!I42</f>
        <v>Annual Increment</v>
      </c>
      <c r="M40" s="66">
        <f>($G40*M37)*(1+$H40)^(M$3-1)</f>
        <v>0</v>
      </c>
      <c r="N40" s="66">
        <f t="shared" ref="N40:BT40" si="73">($G40*N37)*(1+$H40)^(N$3-1)</f>
        <v>0</v>
      </c>
      <c r="O40" s="66">
        <f t="shared" si="73"/>
        <v>0</v>
      </c>
      <c r="P40" s="66">
        <f t="shared" si="73"/>
        <v>0</v>
      </c>
      <c r="Q40" s="66">
        <f t="shared" si="73"/>
        <v>0</v>
      </c>
      <c r="R40" s="66">
        <f t="shared" si="73"/>
        <v>0</v>
      </c>
      <c r="S40" s="66">
        <f t="shared" si="73"/>
        <v>70000</v>
      </c>
      <c r="T40" s="66">
        <f t="shared" si="73"/>
        <v>70000</v>
      </c>
      <c r="U40" s="66">
        <f t="shared" si="73"/>
        <v>70000</v>
      </c>
      <c r="V40" s="66">
        <f t="shared" si="73"/>
        <v>70000</v>
      </c>
      <c r="W40" s="66">
        <f t="shared" si="73"/>
        <v>70000</v>
      </c>
      <c r="X40" s="66">
        <f t="shared" si="73"/>
        <v>70000</v>
      </c>
      <c r="Y40" s="66">
        <f t="shared" si="73"/>
        <v>80500</v>
      </c>
      <c r="Z40" s="66">
        <f t="shared" si="73"/>
        <v>80500</v>
      </c>
      <c r="AA40" s="66">
        <f t="shared" si="73"/>
        <v>80500</v>
      </c>
      <c r="AB40" s="66">
        <f t="shared" si="73"/>
        <v>80500</v>
      </c>
      <c r="AC40" s="66">
        <f t="shared" si="73"/>
        <v>80500</v>
      </c>
      <c r="AD40" s="66">
        <f t="shared" si="73"/>
        <v>80500</v>
      </c>
      <c r="AE40" s="66">
        <f t="shared" si="73"/>
        <v>161000</v>
      </c>
      <c r="AF40" s="66">
        <f t="shared" si="73"/>
        <v>161000</v>
      </c>
      <c r="AG40" s="66">
        <f t="shared" si="73"/>
        <v>161000</v>
      </c>
      <c r="AH40" s="66">
        <f t="shared" si="73"/>
        <v>161000</v>
      </c>
      <c r="AI40" s="66">
        <f t="shared" si="73"/>
        <v>161000</v>
      </c>
      <c r="AJ40" s="66">
        <f t="shared" si="73"/>
        <v>161000</v>
      </c>
      <c r="AK40" s="66">
        <f t="shared" si="73"/>
        <v>185149.99999999997</v>
      </c>
      <c r="AL40" s="66">
        <f t="shared" si="73"/>
        <v>185149.99999999997</v>
      </c>
      <c r="AM40" s="66">
        <f t="shared" si="73"/>
        <v>185149.99999999997</v>
      </c>
      <c r="AN40" s="66">
        <f t="shared" si="73"/>
        <v>185149.99999999997</v>
      </c>
      <c r="AO40" s="66">
        <f t="shared" si="73"/>
        <v>185149.99999999997</v>
      </c>
      <c r="AP40" s="66">
        <f t="shared" si="73"/>
        <v>185149.99999999997</v>
      </c>
      <c r="AQ40" s="66">
        <f t="shared" si="73"/>
        <v>277724.99999999994</v>
      </c>
      <c r="AR40" s="66">
        <f t="shared" si="73"/>
        <v>277724.99999999994</v>
      </c>
      <c r="AS40" s="66">
        <f t="shared" si="73"/>
        <v>277724.99999999994</v>
      </c>
      <c r="AT40" s="66">
        <f t="shared" si="73"/>
        <v>277724.99999999994</v>
      </c>
      <c r="AU40" s="66">
        <f t="shared" si="73"/>
        <v>277724.99999999994</v>
      </c>
      <c r="AV40" s="66">
        <f t="shared" si="73"/>
        <v>277724.99999999994</v>
      </c>
      <c r="AW40" s="66">
        <f t="shared" si="73"/>
        <v>319383.74999999988</v>
      </c>
      <c r="AX40" s="66">
        <f t="shared" si="73"/>
        <v>319383.74999999988</v>
      </c>
      <c r="AY40" s="66">
        <f t="shared" si="73"/>
        <v>319383.74999999988</v>
      </c>
      <c r="AZ40" s="66">
        <f t="shared" si="73"/>
        <v>319383.74999999988</v>
      </c>
      <c r="BA40" s="66">
        <f t="shared" si="73"/>
        <v>319383.74999999988</v>
      </c>
      <c r="BB40" s="66">
        <f t="shared" si="73"/>
        <v>319383.74999999988</v>
      </c>
      <c r="BC40" s="66">
        <f t="shared" si="73"/>
        <v>319383.74999999988</v>
      </c>
      <c r="BD40" s="66">
        <f t="shared" si="73"/>
        <v>319383.74999999988</v>
      </c>
      <c r="BE40" s="66">
        <f t="shared" si="73"/>
        <v>319383.74999999988</v>
      </c>
      <c r="BF40" s="66">
        <f t="shared" si="73"/>
        <v>319383.74999999988</v>
      </c>
      <c r="BG40" s="66">
        <f t="shared" si="73"/>
        <v>319383.74999999988</v>
      </c>
      <c r="BH40" s="66">
        <f t="shared" si="73"/>
        <v>319383.74999999988</v>
      </c>
      <c r="BI40" s="66">
        <f t="shared" si="73"/>
        <v>489721.74999999983</v>
      </c>
      <c r="BJ40" s="66">
        <f t="shared" si="73"/>
        <v>489721.74999999983</v>
      </c>
      <c r="BK40" s="66">
        <f t="shared" si="73"/>
        <v>489721.74999999983</v>
      </c>
      <c r="BL40" s="66">
        <f t="shared" si="73"/>
        <v>489721.74999999983</v>
      </c>
      <c r="BM40" s="66">
        <f t="shared" si="73"/>
        <v>489721.74999999983</v>
      </c>
      <c r="BN40" s="66">
        <f t="shared" si="73"/>
        <v>489721.74999999983</v>
      </c>
      <c r="BO40" s="66">
        <f t="shared" si="73"/>
        <v>489721.74999999983</v>
      </c>
      <c r="BP40" s="66">
        <f t="shared" si="73"/>
        <v>489721.74999999983</v>
      </c>
      <c r="BQ40" s="66">
        <f t="shared" si="73"/>
        <v>489721.74999999983</v>
      </c>
      <c r="BR40" s="66">
        <f t="shared" si="73"/>
        <v>489721.74999999983</v>
      </c>
      <c r="BS40" s="66">
        <f t="shared" si="73"/>
        <v>489721.74999999983</v>
      </c>
      <c r="BT40" s="66">
        <f t="shared" si="73"/>
        <v>489721.74999999983</v>
      </c>
      <c r="BU40" s="11"/>
      <c r="BV40" s="37">
        <f t="shared" si="72"/>
        <v>420000</v>
      </c>
      <c r="BW40" s="37">
        <f t="shared" si="72"/>
        <v>1449000</v>
      </c>
      <c r="BX40" s="37">
        <f t="shared" si="72"/>
        <v>2777249.9999999995</v>
      </c>
      <c r="BY40" s="37">
        <f t="shared" si="72"/>
        <v>3832604.9999999995</v>
      </c>
      <c r="BZ40" s="37">
        <f t="shared" si="72"/>
        <v>5876660.9999999991</v>
      </c>
    </row>
    <row r="41" spans="1:78" x14ac:dyDescent="0.3">
      <c r="A41" s="22" t="s">
        <v>158</v>
      </c>
      <c r="F41" s="60"/>
      <c r="G41" s="134"/>
      <c r="H41" s="135"/>
      <c r="I41" s="30"/>
      <c r="M41" s="125">
        <f t="shared" ref="M41:AR41" si="74">SUM(M39:M40)</f>
        <v>100000</v>
      </c>
      <c r="N41" s="125">
        <f t="shared" si="74"/>
        <v>100000</v>
      </c>
      <c r="O41" s="125">
        <f t="shared" si="74"/>
        <v>100000</v>
      </c>
      <c r="P41" s="125">
        <f t="shared" si="74"/>
        <v>150000</v>
      </c>
      <c r="Q41" s="125">
        <f t="shared" si="74"/>
        <v>150000</v>
      </c>
      <c r="R41" s="125">
        <f t="shared" si="74"/>
        <v>150000</v>
      </c>
      <c r="S41" s="125">
        <f t="shared" si="74"/>
        <v>320000</v>
      </c>
      <c r="T41" s="125">
        <f t="shared" si="74"/>
        <v>320000</v>
      </c>
      <c r="U41" s="125">
        <f t="shared" si="74"/>
        <v>320000</v>
      </c>
      <c r="V41" s="125">
        <f t="shared" si="74"/>
        <v>470000</v>
      </c>
      <c r="W41" s="125">
        <f t="shared" si="74"/>
        <v>470000</v>
      </c>
      <c r="X41" s="125">
        <f t="shared" si="74"/>
        <v>470000</v>
      </c>
      <c r="Y41" s="125">
        <f t="shared" si="74"/>
        <v>598000</v>
      </c>
      <c r="Z41" s="125">
        <f t="shared" si="74"/>
        <v>598000</v>
      </c>
      <c r="AA41" s="125">
        <f t="shared" si="74"/>
        <v>598000</v>
      </c>
      <c r="AB41" s="125">
        <f t="shared" si="74"/>
        <v>655500</v>
      </c>
      <c r="AC41" s="125">
        <f t="shared" si="74"/>
        <v>655500</v>
      </c>
      <c r="AD41" s="125">
        <f t="shared" si="74"/>
        <v>655500</v>
      </c>
      <c r="AE41" s="125">
        <f t="shared" si="74"/>
        <v>1311000</v>
      </c>
      <c r="AF41" s="125">
        <f t="shared" si="74"/>
        <v>1311000</v>
      </c>
      <c r="AG41" s="125">
        <f t="shared" si="74"/>
        <v>1311000</v>
      </c>
      <c r="AH41" s="125">
        <f t="shared" si="74"/>
        <v>1426000</v>
      </c>
      <c r="AI41" s="125">
        <f t="shared" si="74"/>
        <v>1426000</v>
      </c>
      <c r="AJ41" s="125">
        <f t="shared" si="74"/>
        <v>1426000</v>
      </c>
      <c r="AK41" s="125">
        <f t="shared" si="74"/>
        <v>1706024.9999999998</v>
      </c>
      <c r="AL41" s="125">
        <f t="shared" si="74"/>
        <v>1706024.9999999998</v>
      </c>
      <c r="AM41" s="125">
        <f t="shared" si="74"/>
        <v>1706024.9999999998</v>
      </c>
      <c r="AN41" s="125">
        <f t="shared" si="74"/>
        <v>1772149.9999999998</v>
      </c>
      <c r="AO41" s="125">
        <f t="shared" si="74"/>
        <v>1772149.9999999998</v>
      </c>
      <c r="AP41" s="125">
        <f t="shared" si="74"/>
        <v>1772149.9999999998</v>
      </c>
      <c r="AQ41" s="125">
        <f t="shared" si="74"/>
        <v>1930849.9999999998</v>
      </c>
      <c r="AR41" s="125">
        <f t="shared" si="74"/>
        <v>1930849.9999999998</v>
      </c>
      <c r="AS41" s="125">
        <f t="shared" ref="AS41:BT41" si="75">SUM(AS39:AS40)</f>
        <v>1930849.9999999998</v>
      </c>
      <c r="AT41" s="125">
        <f t="shared" si="75"/>
        <v>1996974.9999999998</v>
      </c>
      <c r="AU41" s="125">
        <f t="shared" si="75"/>
        <v>1996974.9999999998</v>
      </c>
      <c r="AV41" s="125">
        <f t="shared" si="75"/>
        <v>1996974.9999999998</v>
      </c>
      <c r="AW41" s="125">
        <f t="shared" si="75"/>
        <v>2600696.2499999991</v>
      </c>
      <c r="AX41" s="125">
        <f t="shared" si="75"/>
        <v>2600696.2499999991</v>
      </c>
      <c r="AY41" s="125">
        <f t="shared" si="75"/>
        <v>2600696.2499999991</v>
      </c>
      <c r="AZ41" s="125">
        <f t="shared" si="75"/>
        <v>2676739.9999999991</v>
      </c>
      <c r="BA41" s="125">
        <f t="shared" si="75"/>
        <v>2676739.9999999991</v>
      </c>
      <c r="BB41" s="125">
        <f t="shared" si="75"/>
        <v>2676739.9999999991</v>
      </c>
      <c r="BC41" s="125">
        <f t="shared" si="75"/>
        <v>2752783.7499999991</v>
      </c>
      <c r="BD41" s="125">
        <f t="shared" si="75"/>
        <v>2752783.7499999991</v>
      </c>
      <c r="BE41" s="125">
        <f t="shared" si="75"/>
        <v>2752783.7499999991</v>
      </c>
      <c r="BF41" s="125">
        <f t="shared" si="75"/>
        <v>2828827.4999999991</v>
      </c>
      <c r="BG41" s="125">
        <f t="shared" si="75"/>
        <v>2828827.4999999991</v>
      </c>
      <c r="BH41" s="125">
        <f t="shared" si="75"/>
        <v>2828827.4999999991</v>
      </c>
      <c r="BI41" s="125">
        <f t="shared" si="75"/>
        <v>3725383.3124999991</v>
      </c>
      <c r="BJ41" s="125">
        <f t="shared" si="75"/>
        <v>3725383.3124999991</v>
      </c>
      <c r="BK41" s="125">
        <f t="shared" si="75"/>
        <v>3725383.3124999991</v>
      </c>
      <c r="BL41" s="125">
        <f t="shared" si="75"/>
        <v>3812833.6249999991</v>
      </c>
      <c r="BM41" s="125">
        <f t="shared" si="75"/>
        <v>3812833.6249999991</v>
      </c>
      <c r="BN41" s="125">
        <f t="shared" si="75"/>
        <v>3812833.6249999991</v>
      </c>
      <c r="BO41" s="125">
        <f t="shared" si="75"/>
        <v>3900283.9374999991</v>
      </c>
      <c r="BP41" s="125">
        <f t="shared" si="75"/>
        <v>3900283.9374999991</v>
      </c>
      <c r="BQ41" s="125">
        <f t="shared" si="75"/>
        <v>3900283.9374999991</v>
      </c>
      <c r="BR41" s="125">
        <f>SUM(BR39:BR40)</f>
        <v>3987734.2499999991</v>
      </c>
      <c r="BS41" s="125">
        <f t="shared" si="75"/>
        <v>3987734.2499999991</v>
      </c>
      <c r="BT41" s="125">
        <f t="shared" si="75"/>
        <v>3987734.2499999991</v>
      </c>
      <c r="BU41" s="11"/>
      <c r="BV41" s="131">
        <f t="shared" si="72"/>
        <v>3120000</v>
      </c>
      <c r="BW41" s="131">
        <f t="shared" si="72"/>
        <v>11971500</v>
      </c>
      <c r="BX41" s="131">
        <f t="shared" si="72"/>
        <v>22217999.999999996</v>
      </c>
      <c r="BY41" s="131">
        <f t="shared" si="72"/>
        <v>32577142.499999996</v>
      </c>
      <c r="BZ41" s="131">
        <f t="shared" si="72"/>
        <v>46278705.374999993</v>
      </c>
    </row>
    <row r="42" spans="1:78" x14ac:dyDescent="0.3">
      <c r="A42" s="22" t="s">
        <v>79</v>
      </c>
      <c r="M42" s="126">
        <f t="shared" ref="M42:AR42" si="76">SUM(M22,M29:M31,M39:M40)</f>
        <v>298000</v>
      </c>
      <c r="N42" s="126">
        <f t="shared" si="76"/>
        <v>298000</v>
      </c>
      <c r="O42" s="126">
        <f t="shared" si="76"/>
        <v>298000</v>
      </c>
      <c r="P42" s="126">
        <f t="shared" si="76"/>
        <v>472000</v>
      </c>
      <c r="Q42" s="126">
        <f t="shared" si="76"/>
        <v>472000</v>
      </c>
      <c r="R42" s="126">
        <f t="shared" si="76"/>
        <v>472000</v>
      </c>
      <c r="S42" s="126">
        <f t="shared" si="76"/>
        <v>976000</v>
      </c>
      <c r="T42" s="126">
        <f t="shared" si="76"/>
        <v>976000</v>
      </c>
      <c r="U42" s="126">
        <f t="shared" si="76"/>
        <v>976000</v>
      </c>
      <c r="V42" s="126">
        <f t="shared" si="76"/>
        <v>1448000</v>
      </c>
      <c r="W42" s="126">
        <f t="shared" si="76"/>
        <v>1448000</v>
      </c>
      <c r="X42" s="126">
        <f t="shared" si="76"/>
        <v>1448000</v>
      </c>
      <c r="Y42" s="126">
        <f t="shared" si="76"/>
        <v>1712600</v>
      </c>
      <c r="Z42" s="126">
        <f t="shared" si="76"/>
        <v>1712600</v>
      </c>
      <c r="AA42" s="126">
        <f t="shared" si="76"/>
        <v>1712600</v>
      </c>
      <c r="AB42" s="126">
        <f t="shared" si="76"/>
        <v>1972300</v>
      </c>
      <c r="AC42" s="126">
        <f t="shared" si="76"/>
        <v>1972300</v>
      </c>
      <c r="AD42" s="126">
        <f t="shared" si="76"/>
        <v>1972300</v>
      </c>
      <c r="AE42" s="126">
        <f t="shared" si="76"/>
        <v>3948800</v>
      </c>
      <c r="AF42" s="126">
        <f t="shared" si="76"/>
        <v>3948800</v>
      </c>
      <c r="AG42" s="126">
        <f t="shared" si="76"/>
        <v>3948800</v>
      </c>
      <c r="AH42" s="126">
        <f t="shared" si="76"/>
        <v>4340600</v>
      </c>
      <c r="AI42" s="126">
        <f t="shared" si="76"/>
        <v>4340600</v>
      </c>
      <c r="AJ42" s="126">
        <f t="shared" si="76"/>
        <v>4340600</v>
      </c>
      <c r="AK42" s="126">
        <f t="shared" si="76"/>
        <v>4765025</v>
      </c>
      <c r="AL42" s="126">
        <f t="shared" si="76"/>
        <v>4765025</v>
      </c>
      <c r="AM42" s="126">
        <f t="shared" si="76"/>
        <v>4765025</v>
      </c>
      <c r="AN42" s="126">
        <f t="shared" si="76"/>
        <v>4963550</v>
      </c>
      <c r="AO42" s="126">
        <f t="shared" si="76"/>
        <v>4963550</v>
      </c>
      <c r="AP42" s="126">
        <f t="shared" si="76"/>
        <v>4963550</v>
      </c>
      <c r="AQ42" s="126">
        <f t="shared" si="76"/>
        <v>5333850</v>
      </c>
      <c r="AR42" s="126">
        <f t="shared" si="76"/>
        <v>5333850</v>
      </c>
      <c r="AS42" s="126">
        <f t="shared" ref="AS42:BT42" si="77">SUM(AS22,AS29:AS31,AS39:AS40)</f>
        <v>5333850</v>
      </c>
      <c r="AT42" s="126">
        <f t="shared" si="77"/>
        <v>5536575</v>
      </c>
      <c r="AU42" s="126">
        <f t="shared" si="77"/>
        <v>5536575</v>
      </c>
      <c r="AV42" s="126">
        <f t="shared" si="77"/>
        <v>5536575</v>
      </c>
      <c r="AW42" s="126">
        <f t="shared" si="77"/>
        <v>6672896.2499999991</v>
      </c>
      <c r="AX42" s="126">
        <f t="shared" si="77"/>
        <v>6672896.2499999991</v>
      </c>
      <c r="AY42" s="126">
        <f t="shared" si="77"/>
        <v>6672896.2499999991</v>
      </c>
      <c r="AZ42" s="126">
        <f t="shared" si="77"/>
        <v>6889139.9999999991</v>
      </c>
      <c r="BA42" s="126">
        <f t="shared" si="77"/>
        <v>6889139.9999999991</v>
      </c>
      <c r="BB42" s="126">
        <f t="shared" si="77"/>
        <v>6889139.9999999991</v>
      </c>
      <c r="BC42" s="126">
        <f t="shared" si="77"/>
        <v>7097583.7499999991</v>
      </c>
      <c r="BD42" s="126">
        <f t="shared" si="77"/>
        <v>7097583.7499999991</v>
      </c>
      <c r="BE42" s="126">
        <f t="shared" si="77"/>
        <v>7097583.7499999991</v>
      </c>
      <c r="BF42" s="126">
        <f t="shared" si="77"/>
        <v>7313827.4999999991</v>
      </c>
      <c r="BG42" s="126">
        <f t="shared" si="77"/>
        <v>7313827.4999999991</v>
      </c>
      <c r="BH42" s="126">
        <f t="shared" si="77"/>
        <v>7313827.4999999991</v>
      </c>
      <c r="BI42" s="126">
        <f t="shared" si="77"/>
        <v>8759783.3124999981</v>
      </c>
      <c r="BJ42" s="126">
        <f t="shared" si="77"/>
        <v>8759783.3124999981</v>
      </c>
      <c r="BK42" s="126">
        <f t="shared" si="77"/>
        <v>8759783.3124999981</v>
      </c>
      <c r="BL42" s="126">
        <f t="shared" si="77"/>
        <v>8983833.625</v>
      </c>
      <c r="BM42" s="126">
        <f t="shared" si="77"/>
        <v>8983833.625</v>
      </c>
      <c r="BN42" s="126">
        <f t="shared" si="77"/>
        <v>8983833.625</v>
      </c>
      <c r="BO42" s="126">
        <f t="shared" si="77"/>
        <v>9211483.9375</v>
      </c>
      <c r="BP42" s="126">
        <f t="shared" si="77"/>
        <v>9211483.9375</v>
      </c>
      <c r="BQ42" s="126">
        <f t="shared" si="77"/>
        <v>9211483.9375</v>
      </c>
      <c r="BR42" s="126">
        <f t="shared" si="77"/>
        <v>9431334.25</v>
      </c>
      <c r="BS42" s="126">
        <f t="shared" si="77"/>
        <v>9431334.25</v>
      </c>
      <c r="BT42" s="126">
        <f t="shared" si="77"/>
        <v>9431334.25</v>
      </c>
      <c r="BU42" s="11"/>
      <c r="BV42" s="133">
        <f t="shared" si="72"/>
        <v>9582000</v>
      </c>
      <c r="BW42" s="133">
        <f t="shared" si="72"/>
        <v>35922900</v>
      </c>
      <c r="BX42" s="133">
        <f t="shared" si="72"/>
        <v>61797000</v>
      </c>
      <c r="BY42" s="133">
        <f t="shared" si="72"/>
        <v>83920342.499999985</v>
      </c>
      <c r="BZ42" s="133">
        <f t="shared" si="72"/>
        <v>109159305.375</v>
      </c>
    </row>
    <row r="43" spans="1:78" x14ac:dyDescent="0.3">
      <c r="A43" s="52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11"/>
      <c r="BV43" s="51"/>
      <c r="BW43" s="51"/>
      <c r="BX43" s="51"/>
      <c r="BY43" s="51"/>
      <c r="BZ43" s="51"/>
    </row>
    <row r="44" spans="1:78" x14ac:dyDescent="0.3">
      <c r="A44" s="29" t="str">
        <f>Assumptions!A44</f>
        <v>Marketing Team Roles &amp; Headcount</v>
      </c>
      <c r="BU44" s="11"/>
    </row>
    <row r="45" spans="1:78" x14ac:dyDescent="0.3">
      <c r="A45" s="30" t="str">
        <f>Assumptions!A45</f>
        <v>Head of Marketing</v>
      </c>
      <c r="F45" s="60" t="str">
        <f>Assumptions!F45</f>
        <v>Monthly Salary/Headcount</v>
      </c>
      <c r="G45" s="63">
        <f>Assumptions!G45</f>
        <v>100000</v>
      </c>
      <c r="H45" s="63">
        <f>Assumptions!H45</f>
        <v>0.15</v>
      </c>
      <c r="I45" s="123" t="str">
        <f>Assumptions!I45</f>
        <v>Annual Increment</v>
      </c>
      <c r="M45" s="24">
        <f>($G45*Assumptions!M45)*(1+'Cost Buildup'!$H45)^(M$3-1)</f>
        <v>0</v>
      </c>
      <c r="N45" s="24">
        <f>($G45*Assumptions!N45)*(1+'Cost Buildup'!$H45)^(N$3-1)</f>
        <v>0</v>
      </c>
      <c r="O45" s="24">
        <f>($G45*Assumptions!O45)*(1+'Cost Buildup'!$H45)^(O$3-1)</f>
        <v>0</v>
      </c>
      <c r="P45" s="24">
        <f>($G45*Assumptions!P45)*(1+'Cost Buildup'!$H45)^(P$3-1)</f>
        <v>0</v>
      </c>
      <c r="Q45" s="24">
        <f>($G45*Assumptions!Q45)*(1+'Cost Buildup'!$H45)^(Q$3-1)</f>
        <v>0</v>
      </c>
      <c r="R45" s="24">
        <f>($G45*Assumptions!R45)*(1+'Cost Buildup'!$H45)^(R$3-1)</f>
        <v>0</v>
      </c>
      <c r="S45" s="24">
        <f>($G45*Assumptions!S45)*(1+'Cost Buildup'!$H45)^(S$3-1)</f>
        <v>0</v>
      </c>
      <c r="T45" s="24">
        <f>($G45*Assumptions!T45)*(1+'Cost Buildup'!$H45)^(T$3-1)</f>
        <v>0</v>
      </c>
      <c r="U45" s="24">
        <f>($G45*Assumptions!U45)*(1+'Cost Buildup'!$H45)^(U$3-1)</f>
        <v>0</v>
      </c>
      <c r="V45" s="24">
        <f>($G45*Assumptions!V45)*(1+'Cost Buildup'!$H45)^(V$3-1)</f>
        <v>0</v>
      </c>
      <c r="W45" s="24">
        <f>($G45*Assumptions!W45)*(1+'Cost Buildup'!$H45)^(W$3-1)</f>
        <v>0</v>
      </c>
      <c r="X45" s="24">
        <f>($G45*Assumptions!X45)*(1+'Cost Buildup'!$H45)^(X$3-1)</f>
        <v>0</v>
      </c>
      <c r="Y45" s="24">
        <f>($G45*Assumptions!Y45)*(1+'Cost Buildup'!$H45)^(Y$3-1)</f>
        <v>0</v>
      </c>
      <c r="Z45" s="24">
        <f>($G45*Assumptions!Z45)*(1+'Cost Buildup'!$H45)^(Z$3-1)</f>
        <v>0</v>
      </c>
      <c r="AA45" s="24">
        <f>($G45*Assumptions!AA45)*(1+'Cost Buildup'!$H45)^(AA$3-1)</f>
        <v>0</v>
      </c>
      <c r="AB45" s="24">
        <f>($G45*Assumptions!AB45)*(1+'Cost Buildup'!$H45)^(AB$3-1)</f>
        <v>0</v>
      </c>
      <c r="AC45" s="24">
        <f>($G45*Assumptions!AC45)*(1+'Cost Buildup'!$H45)^(AC$3-1)</f>
        <v>0</v>
      </c>
      <c r="AD45" s="24">
        <f>($G45*Assumptions!AD45)*(1+'Cost Buildup'!$H45)^(AD$3-1)</f>
        <v>0</v>
      </c>
      <c r="AE45" s="24">
        <f>($G45*Assumptions!AE45)*(1+'Cost Buildup'!$H45)^(AE$3-1)</f>
        <v>114999.99999999999</v>
      </c>
      <c r="AF45" s="24">
        <f>($G45*Assumptions!AF45)*(1+'Cost Buildup'!$H45)^(AF$3-1)</f>
        <v>114999.99999999999</v>
      </c>
      <c r="AG45" s="24">
        <f>($G45*Assumptions!AG45)*(1+'Cost Buildup'!$H45)^(AG$3-1)</f>
        <v>114999.99999999999</v>
      </c>
      <c r="AH45" s="24">
        <f>($G45*Assumptions!AH45)*(1+'Cost Buildup'!$H45)^(AH$3-1)</f>
        <v>114999.99999999999</v>
      </c>
      <c r="AI45" s="24">
        <f>($G45*Assumptions!AI45)*(1+'Cost Buildup'!$H45)^(AI$3-1)</f>
        <v>114999.99999999999</v>
      </c>
      <c r="AJ45" s="24">
        <f>($G45*Assumptions!AJ45)*(1+'Cost Buildup'!$H45)^(AJ$3-1)</f>
        <v>114999.99999999999</v>
      </c>
      <c r="AK45" s="24">
        <f>($G45*Assumptions!AK45)*(1+'Cost Buildup'!$H45)^(AK$3-1)</f>
        <v>132249.99999999997</v>
      </c>
      <c r="AL45" s="24">
        <f>($G45*Assumptions!AL45)*(1+'Cost Buildup'!$H45)^(AL$3-1)</f>
        <v>132249.99999999997</v>
      </c>
      <c r="AM45" s="24">
        <f>($G45*Assumptions!AM45)*(1+'Cost Buildup'!$H45)^(AM$3-1)</f>
        <v>132249.99999999997</v>
      </c>
      <c r="AN45" s="24">
        <f>($G45*Assumptions!AN45)*(1+'Cost Buildup'!$H45)^(AN$3-1)</f>
        <v>132249.99999999997</v>
      </c>
      <c r="AO45" s="24">
        <f>($G45*Assumptions!AO45)*(1+'Cost Buildup'!$H45)^(AO$3-1)</f>
        <v>132249.99999999997</v>
      </c>
      <c r="AP45" s="24">
        <f>($G45*Assumptions!AP45)*(1+'Cost Buildup'!$H45)^(AP$3-1)</f>
        <v>132249.99999999997</v>
      </c>
      <c r="AQ45" s="24">
        <f>($G45*Assumptions!AQ45)*(1+'Cost Buildup'!$H45)^(AQ$3-1)</f>
        <v>132249.99999999997</v>
      </c>
      <c r="AR45" s="24">
        <f>($G45*Assumptions!AR45)*(1+'Cost Buildup'!$H45)^(AR$3-1)</f>
        <v>132249.99999999997</v>
      </c>
      <c r="AS45" s="24">
        <f>($G45*Assumptions!AS45)*(1+'Cost Buildup'!$H45)^(AS$3-1)</f>
        <v>132249.99999999997</v>
      </c>
      <c r="AT45" s="24">
        <f>($G45*Assumptions!AT45)*(1+'Cost Buildup'!$H45)^(AT$3-1)</f>
        <v>132249.99999999997</v>
      </c>
      <c r="AU45" s="24">
        <f>($G45*Assumptions!AU45)*(1+'Cost Buildup'!$H45)^(AU$3-1)</f>
        <v>132249.99999999997</v>
      </c>
      <c r="AV45" s="24">
        <f>($G45*Assumptions!AV45)*(1+'Cost Buildup'!$H45)^(AV$3-1)</f>
        <v>132249.99999999997</v>
      </c>
      <c r="AW45" s="24">
        <f>($G45*Assumptions!AW45)*(1+'Cost Buildup'!$H45)^(AW$3-1)</f>
        <v>152087.49999999994</v>
      </c>
      <c r="AX45" s="24">
        <f>($G45*Assumptions!AX45)*(1+'Cost Buildup'!$H45)^(AX$3-1)</f>
        <v>152087.49999999994</v>
      </c>
      <c r="AY45" s="24">
        <f>($G45*Assumptions!AY45)*(1+'Cost Buildup'!$H45)^(AY$3-1)</f>
        <v>152087.49999999994</v>
      </c>
      <c r="AZ45" s="24">
        <f>($G45*Assumptions!AZ45)*(1+'Cost Buildup'!$H45)^(AZ$3-1)</f>
        <v>152087.49999999994</v>
      </c>
      <c r="BA45" s="24">
        <f>($G45*Assumptions!BA45)*(1+'Cost Buildup'!$H45)^(BA$3-1)</f>
        <v>152087.49999999994</v>
      </c>
      <c r="BB45" s="24">
        <f>($G45*Assumptions!BB45)*(1+'Cost Buildup'!$H45)^(BB$3-1)</f>
        <v>152087.49999999994</v>
      </c>
      <c r="BC45" s="24">
        <f>($G45*Assumptions!BC45)*(1+'Cost Buildup'!$H45)^(BC$3-1)</f>
        <v>152087.49999999994</v>
      </c>
      <c r="BD45" s="24">
        <f>($G45*Assumptions!BD45)*(1+'Cost Buildup'!$H45)^(BD$3-1)</f>
        <v>152087.49999999994</v>
      </c>
      <c r="BE45" s="24">
        <f>($G45*Assumptions!BE45)*(1+'Cost Buildup'!$H45)^(BE$3-1)</f>
        <v>152087.49999999994</v>
      </c>
      <c r="BF45" s="24">
        <f>($G45*Assumptions!BF45)*(1+'Cost Buildup'!$H45)^(BF$3-1)</f>
        <v>152087.49999999994</v>
      </c>
      <c r="BG45" s="24">
        <f>($G45*Assumptions!BG45)*(1+'Cost Buildup'!$H45)^(BG$3-1)</f>
        <v>152087.49999999994</v>
      </c>
      <c r="BH45" s="24">
        <f>($G45*Assumptions!BH45)*(1+'Cost Buildup'!$H45)^(BH$3-1)</f>
        <v>152087.49999999994</v>
      </c>
      <c r="BI45" s="24">
        <f>($G45*Assumptions!BI45)*(1+'Cost Buildup'!$H45)^(BI$3-1)</f>
        <v>174900.62499999994</v>
      </c>
      <c r="BJ45" s="24">
        <f>($G45*Assumptions!BJ45)*(1+'Cost Buildup'!$H45)^(BJ$3-1)</f>
        <v>174900.62499999994</v>
      </c>
      <c r="BK45" s="24">
        <f>($G45*Assumptions!BK45)*(1+'Cost Buildup'!$H45)^(BK$3-1)</f>
        <v>174900.62499999994</v>
      </c>
      <c r="BL45" s="24">
        <f>($G45*Assumptions!BL45)*(1+'Cost Buildup'!$H45)^(BL$3-1)</f>
        <v>174900.62499999994</v>
      </c>
      <c r="BM45" s="24">
        <f>($G45*Assumptions!BM45)*(1+'Cost Buildup'!$H45)^(BM$3-1)</f>
        <v>174900.62499999994</v>
      </c>
      <c r="BN45" s="24">
        <f>($G45*Assumptions!BN45)*(1+'Cost Buildup'!$H45)^(BN$3-1)</f>
        <v>174900.62499999994</v>
      </c>
      <c r="BO45" s="24">
        <f>($G45*Assumptions!BO45)*(1+'Cost Buildup'!$H45)^(BO$3-1)</f>
        <v>174900.62499999994</v>
      </c>
      <c r="BP45" s="24">
        <f>($G45*Assumptions!BP45)*(1+'Cost Buildup'!$H45)^(BP$3-1)</f>
        <v>174900.62499999994</v>
      </c>
      <c r="BQ45" s="24">
        <f>($G45*Assumptions!BQ45)*(1+'Cost Buildup'!$H45)^(BQ$3-1)</f>
        <v>174900.62499999994</v>
      </c>
      <c r="BR45" s="24">
        <f>($G45*Assumptions!BR45)*(1+'Cost Buildup'!$H45)^(BR$3-1)</f>
        <v>174900.62499999994</v>
      </c>
      <c r="BS45" s="24">
        <f>($G45*Assumptions!BS45)*(1+'Cost Buildup'!$H45)^(BS$3-1)</f>
        <v>174900.62499999994</v>
      </c>
      <c r="BT45" s="24">
        <f>($G45*Assumptions!BT45)*(1+'Cost Buildup'!$H45)^(BT$3-1)</f>
        <v>174900.62499999994</v>
      </c>
      <c r="BU45" s="11"/>
      <c r="BV45" s="37">
        <f t="shared" si="72"/>
        <v>0</v>
      </c>
      <c r="BW45" s="37">
        <f t="shared" si="72"/>
        <v>689999.99999999988</v>
      </c>
      <c r="BX45" s="37">
        <f t="shared" si="72"/>
        <v>1586999.9999999998</v>
      </c>
      <c r="BY45" s="37">
        <f t="shared" si="72"/>
        <v>1825049.9999999998</v>
      </c>
      <c r="BZ45" s="37">
        <f t="shared" si="72"/>
        <v>2098807.4999999995</v>
      </c>
    </row>
    <row r="46" spans="1:78" x14ac:dyDescent="0.3">
      <c r="A46" s="30" t="str">
        <f>Assumptions!A46</f>
        <v>Growth</v>
      </c>
      <c r="F46" s="60" t="str">
        <f>Assumptions!F46</f>
        <v>Monthly Salary/Headcount</v>
      </c>
      <c r="G46" s="63">
        <f>Assumptions!G46</f>
        <v>75000</v>
      </c>
      <c r="H46" s="63">
        <f>Assumptions!H46</f>
        <v>0.15</v>
      </c>
      <c r="I46" s="123" t="str">
        <f>Assumptions!I46</f>
        <v>Annual Increment</v>
      </c>
      <c r="M46" s="24">
        <f>($G46*Assumptions!M46)*(1+'Cost Buildup'!$H46)^(M$3-1)</f>
        <v>75000</v>
      </c>
      <c r="N46" s="24">
        <f>($G46*Assumptions!N46)*(1+'Cost Buildup'!$H46)^(N$3-1)</f>
        <v>75000</v>
      </c>
      <c r="O46" s="24">
        <f>($G46*Assumptions!O46)*(1+'Cost Buildup'!$H46)^(O$3-1)</f>
        <v>75000</v>
      </c>
      <c r="P46" s="24">
        <f>($G46*Assumptions!P46)*(1+'Cost Buildup'!$H46)^(P$3-1)</f>
        <v>75000</v>
      </c>
      <c r="Q46" s="24">
        <f>($G46*Assumptions!Q46)*(1+'Cost Buildup'!$H46)^(Q$3-1)</f>
        <v>75000</v>
      </c>
      <c r="R46" s="24">
        <f>($G46*Assumptions!R46)*(1+'Cost Buildup'!$H46)^(R$3-1)</f>
        <v>75000</v>
      </c>
      <c r="S46" s="24">
        <f>($G46*Assumptions!S46)*(1+'Cost Buildup'!$H46)^(S$3-1)</f>
        <v>75000</v>
      </c>
      <c r="T46" s="24">
        <f>($G46*Assumptions!T46)*(1+'Cost Buildup'!$H46)^(T$3-1)</f>
        <v>75000</v>
      </c>
      <c r="U46" s="24">
        <f>($G46*Assumptions!U46)*(1+'Cost Buildup'!$H46)^(U$3-1)</f>
        <v>75000</v>
      </c>
      <c r="V46" s="24">
        <f>($G46*Assumptions!V46)*(1+'Cost Buildup'!$H46)^(V$3-1)</f>
        <v>75000</v>
      </c>
      <c r="W46" s="24">
        <f>($G46*Assumptions!W46)*(1+'Cost Buildup'!$H46)^(W$3-1)</f>
        <v>75000</v>
      </c>
      <c r="X46" s="24">
        <f>($G46*Assumptions!X46)*(1+'Cost Buildup'!$H46)^(X$3-1)</f>
        <v>75000</v>
      </c>
      <c r="Y46" s="24">
        <f>($G46*Assumptions!Y46)*(1+'Cost Buildup'!$H46)^(Y$3-1)</f>
        <v>172500</v>
      </c>
      <c r="Z46" s="24">
        <f>($G46*Assumptions!Z46)*(1+'Cost Buildup'!$H46)^(Z$3-1)</f>
        <v>172500</v>
      </c>
      <c r="AA46" s="24">
        <f>($G46*Assumptions!AA46)*(1+'Cost Buildup'!$H46)^(AA$3-1)</f>
        <v>172500</v>
      </c>
      <c r="AB46" s="24">
        <f>($G46*Assumptions!AB46)*(1+'Cost Buildup'!$H46)^(AB$3-1)</f>
        <v>172500</v>
      </c>
      <c r="AC46" s="24">
        <f>($G46*Assumptions!AC46)*(1+'Cost Buildup'!$H46)^(AC$3-1)</f>
        <v>172500</v>
      </c>
      <c r="AD46" s="24">
        <f>($G46*Assumptions!AD46)*(1+'Cost Buildup'!$H46)^(AD$3-1)</f>
        <v>172500</v>
      </c>
      <c r="AE46" s="24">
        <f>($G46*Assumptions!AE46)*(1+'Cost Buildup'!$H46)^(AE$3-1)</f>
        <v>172500</v>
      </c>
      <c r="AF46" s="24">
        <f>($G46*Assumptions!AF46)*(1+'Cost Buildup'!$H46)^(AF$3-1)</f>
        <v>172500</v>
      </c>
      <c r="AG46" s="24">
        <f>($G46*Assumptions!AG46)*(1+'Cost Buildup'!$H46)^(AG$3-1)</f>
        <v>172500</v>
      </c>
      <c r="AH46" s="24">
        <f>($G46*Assumptions!AH46)*(1+'Cost Buildup'!$H46)^(AH$3-1)</f>
        <v>172500</v>
      </c>
      <c r="AI46" s="24">
        <f>($G46*Assumptions!AI46)*(1+'Cost Buildup'!$H46)^(AI$3-1)</f>
        <v>172500</v>
      </c>
      <c r="AJ46" s="24">
        <f>($G46*Assumptions!AJ46)*(1+'Cost Buildup'!$H46)^(AJ$3-1)</f>
        <v>172500</v>
      </c>
      <c r="AK46" s="24">
        <f>($G46*Assumptions!AK46)*(1+'Cost Buildup'!$H46)^(AK$3-1)</f>
        <v>396749.99999999994</v>
      </c>
      <c r="AL46" s="24">
        <f>($G46*Assumptions!AL46)*(1+'Cost Buildup'!$H46)^(AL$3-1)</f>
        <v>396749.99999999994</v>
      </c>
      <c r="AM46" s="24">
        <f>($G46*Assumptions!AM46)*(1+'Cost Buildup'!$H46)^(AM$3-1)</f>
        <v>396749.99999999994</v>
      </c>
      <c r="AN46" s="24">
        <f>($G46*Assumptions!AN46)*(1+'Cost Buildup'!$H46)^(AN$3-1)</f>
        <v>396749.99999999994</v>
      </c>
      <c r="AO46" s="24">
        <f>($G46*Assumptions!AO46)*(1+'Cost Buildup'!$H46)^(AO$3-1)</f>
        <v>396749.99999999994</v>
      </c>
      <c r="AP46" s="24">
        <f>($G46*Assumptions!AP46)*(1+'Cost Buildup'!$H46)^(AP$3-1)</f>
        <v>396749.99999999994</v>
      </c>
      <c r="AQ46" s="24">
        <f>($G46*Assumptions!AQ46)*(1+'Cost Buildup'!$H46)^(AQ$3-1)</f>
        <v>396749.99999999994</v>
      </c>
      <c r="AR46" s="24">
        <f>($G46*Assumptions!AR46)*(1+'Cost Buildup'!$H46)^(AR$3-1)</f>
        <v>396749.99999999994</v>
      </c>
      <c r="AS46" s="24">
        <f>($G46*Assumptions!AS46)*(1+'Cost Buildup'!$H46)^(AS$3-1)</f>
        <v>396749.99999999994</v>
      </c>
      <c r="AT46" s="24">
        <f>($G46*Assumptions!AT46)*(1+'Cost Buildup'!$H46)^(AT$3-1)</f>
        <v>396749.99999999994</v>
      </c>
      <c r="AU46" s="24">
        <f>($G46*Assumptions!AU46)*(1+'Cost Buildup'!$H46)^(AU$3-1)</f>
        <v>396749.99999999994</v>
      </c>
      <c r="AV46" s="24">
        <f>($G46*Assumptions!AV46)*(1+'Cost Buildup'!$H46)^(AV$3-1)</f>
        <v>396749.99999999994</v>
      </c>
      <c r="AW46" s="24">
        <f>($G46*Assumptions!AW46)*(1+'Cost Buildup'!$H46)^(AW$3-1)</f>
        <v>456262.49999999988</v>
      </c>
      <c r="AX46" s="24">
        <f>($G46*Assumptions!AX46)*(1+'Cost Buildup'!$H46)^(AX$3-1)</f>
        <v>456262.49999999988</v>
      </c>
      <c r="AY46" s="24">
        <f>($G46*Assumptions!AY46)*(1+'Cost Buildup'!$H46)^(AY$3-1)</f>
        <v>456262.49999999988</v>
      </c>
      <c r="AZ46" s="24">
        <f>($G46*Assumptions!AZ46)*(1+'Cost Buildup'!$H46)^(AZ$3-1)</f>
        <v>456262.49999999988</v>
      </c>
      <c r="BA46" s="24">
        <f>($G46*Assumptions!BA46)*(1+'Cost Buildup'!$H46)^(BA$3-1)</f>
        <v>456262.49999999988</v>
      </c>
      <c r="BB46" s="24">
        <f>($G46*Assumptions!BB46)*(1+'Cost Buildup'!$H46)^(BB$3-1)</f>
        <v>456262.49999999988</v>
      </c>
      <c r="BC46" s="24">
        <f>($G46*Assumptions!BC46)*(1+'Cost Buildup'!$H46)^(BC$3-1)</f>
        <v>456262.49999999988</v>
      </c>
      <c r="BD46" s="24">
        <f>($G46*Assumptions!BD46)*(1+'Cost Buildup'!$H46)^(BD$3-1)</f>
        <v>456262.49999999988</v>
      </c>
      <c r="BE46" s="24">
        <f>($G46*Assumptions!BE46)*(1+'Cost Buildup'!$H46)^(BE$3-1)</f>
        <v>456262.49999999988</v>
      </c>
      <c r="BF46" s="24">
        <f>($G46*Assumptions!BF46)*(1+'Cost Buildup'!$H46)^(BF$3-1)</f>
        <v>456262.49999999988</v>
      </c>
      <c r="BG46" s="24">
        <f>($G46*Assumptions!BG46)*(1+'Cost Buildup'!$H46)^(BG$3-1)</f>
        <v>456262.49999999988</v>
      </c>
      <c r="BH46" s="24">
        <f>($G46*Assumptions!BH46)*(1+'Cost Buildup'!$H46)^(BH$3-1)</f>
        <v>456262.49999999988</v>
      </c>
      <c r="BI46" s="24">
        <f>($G46*Assumptions!BI46)*(1+'Cost Buildup'!$H46)^(BI$3-1)</f>
        <v>524701.87499999988</v>
      </c>
      <c r="BJ46" s="24">
        <f>($G46*Assumptions!BJ46)*(1+'Cost Buildup'!$H46)^(BJ$3-1)</f>
        <v>524701.87499999988</v>
      </c>
      <c r="BK46" s="24">
        <f>($G46*Assumptions!BK46)*(1+'Cost Buildup'!$H46)^(BK$3-1)</f>
        <v>524701.87499999988</v>
      </c>
      <c r="BL46" s="24">
        <f>($G46*Assumptions!BL46)*(1+'Cost Buildup'!$H46)^(BL$3-1)</f>
        <v>524701.87499999988</v>
      </c>
      <c r="BM46" s="24">
        <f>($G46*Assumptions!BM46)*(1+'Cost Buildup'!$H46)^(BM$3-1)</f>
        <v>524701.87499999988</v>
      </c>
      <c r="BN46" s="24">
        <f>($G46*Assumptions!BN46)*(1+'Cost Buildup'!$H46)^(BN$3-1)</f>
        <v>524701.87499999988</v>
      </c>
      <c r="BO46" s="24">
        <f>($G46*Assumptions!BO46)*(1+'Cost Buildup'!$H46)^(BO$3-1)</f>
        <v>524701.87499999988</v>
      </c>
      <c r="BP46" s="24">
        <f>($G46*Assumptions!BP46)*(1+'Cost Buildup'!$H46)^(BP$3-1)</f>
        <v>524701.87499999988</v>
      </c>
      <c r="BQ46" s="24">
        <f>($G46*Assumptions!BQ46)*(1+'Cost Buildup'!$H46)^(BQ$3-1)</f>
        <v>524701.87499999988</v>
      </c>
      <c r="BR46" s="24">
        <f>($G46*Assumptions!BR46)*(1+'Cost Buildup'!$H46)^(BR$3-1)</f>
        <v>524701.87499999988</v>
      </c>
      <c r="BS46" s="24">
        <f>($G46*Assumptions!BS46)*(1+'Cost Buildup'!$H46)^(BS$3-1)</f>
        <v>524701.87499999988</v>
      </c>
      <c r="BT46" s="24">
        <f>($G46*Assumptions!BT46)*(1+'Cost Buildup'!$H46)^(BT$3-1)</f>
        <v>524701.87499999988</v>
      </c>
      <c r="BU46" s="11"/>
      <c r="BV46" s="37">
        <f t="shared" si="72"/>
        <v>900000</v>
      </c>
      <c r="BW46" s="37">
        <f t="shared" si="72"/>
        <v>2070000</v>
      </c>
      <c r="BX46" s="37">
        <f t="shared" si="72"/>
        <v>4760999.9999999991</v>
      </c>
      <c r="BY46" s="37">
        <f t="shared" si="72"/>
        <v>5475149.9999999991</v>
      </c>
      <c r="BZ46" s="37">
        <f t="shared" si="72"/>
        <v>6296422.4999999991</v>
      </c>
    </row>
    <row r="47" spans="1:78" x14ac:dyDescent="0.3">
      <c r="A47" s="30" t="str">
        <f>Assumptions!A47</f>
        <v>Branding</v>
      </c>
      <c r="F47" s="60" t="str">
        <f>Assumptions!F47</f>
        <v>Monthly Salary/Headcount</v>
      </c>
      <c r="G47" s="63">
        <f>Assumptions!G47</f>
        <v>50000</v>
      </c>
      <c r="H47" s="63">
        <f>Assumptions!H47</f>
        <v>0.15</v>
      </c>
      <c r="I47" s="123" t="str">
        <f>Assumptions!I47</f>
        <v>Annual Increment</v>
      </c>
      <c r="M47" s="24">
        <f>($G47*Assumptions!M47)*(1+'Cost Buildup'!$H47)^(M$3-1)</f>
        <v>0</v>
      </c>
      <c r="N47" s="24">
        <f>($G47*Assumptions!N47)*(1+'Cost Buildup'!$H47)^(N$3-1)</f>
        <v>0</v>
      </c>
      <c r="O47" s="24">
        <f>($G47*Assumptions!O47)*(1+'Cost Buildup'!$H47)^(O$3-1)</f>
        <v>0</v>
      </c>
      <c r="P47" s="24">
        <f>($G47*Assumptions!P47)*(1+'Cost Buildup'!$H47)^(P$3-1)</f>
        <v>0</v>
      </c>
      <c r="Q47" s="24">
        <f>($G47*Assumptions!Q47)*(1+'Cost Buildup'!$H47)^(Q$3-1)</f>
        <v>0</v>
      </c>
      <c r="R47" s="24">
        <f>($G47*Assumptions!R47)*(1+'Cost Buildup'!$H47)^(R$3-1)</f>
        <v>0</v>
      </c>
      <c r="S47" s="24">
        <f>($G47*Assumptions!S47)*(1+'Cost Buildup'!$H47)^(S$3-1)</f>
        <v>0</v>
      </c>
      <c r="T47" s="24">
        <f>($G47*Assumptions!T47)*(1+'Cost Buildup'!$H47)^(T$3-1)</f>
        <v>0</v>
      </c>
      <c r="U47" s="24">
        <f>($G47*Assumptions!U47)*(1+'Cost Buildup'!$H47)^(U$3-1)</f>
        <v>0</v>
      </c>
      <c r="V47" s="24">
        <f>($G47*Assumptions!V47)*(1+'Cost Buildup'!$H47)^(V$3-1)</f>
        <v>0</v>
      </c>
      <c r="W47" s="24">
        <f>($G47*Assumptions!W47)*(1+'Cost Buildup'!$H47)^(W$3-1)</f>
        <v>0</v>
      </c>
      <c r="X47" s="24">
        <f>($G47*Assumptions!X47)*(1+'Cost Buildup'!$H47)^(X$3-1)</f>
        <v>0</v>
      </c>
      <c r="Y47" s="24">
        <f>($G47*Assumptions!Y47)*(1+'Cost Buildup'!$H47)^(Y$3-1)</f>
        <v>0</v>
      </c>
      <c r="Z47" s="24">
        <f>($G47*Assumptions!Z47)*(1+'Cost Buildup'!$H47)^(Z$3-1)</f>
        <v>0</v>
      </c>
      <c r="AA47" s="24">
        <f>($G47*Assumptions!AA47)*(1+'Cost Buildup'!$H47)^(AA$3-1)</f>
        <v>0</v>
      </c>
      <c r="AB47" s="24">
        <f>($G47*Assumptions!AB47)*(1+'Cost Buildup'!$H47)^(AB$3-1)</f>
        <v>0</v>
      </c>
      <c r="AC47" s="24">
        <f>($G47*Assumptions!AC47)*(1+'Cost Buildup'!$H47)^(AC$3-1)</f>
        <v>0</v>
      </c>
      <c r="AD47" s="24">
        <f>($G47*Assumptions!AD47)*(1+'Cost Buildup'!$H47)^(AD$3-1)</f>
        <v>0</v>
      </c>
      <c r="AE47" s="24">
        <f>($G47*Assumptions!AE47)*(1+'Cost Buildup'!$H47)^(AE$3-1)</f>
        <v>57499.999999999993</v>
      </c>
      <c r="AF47" s="24">
        <f>($G47*Assumptions!AF47)*(1+'Cost Buildup'!$H47)^(AF$3-1)</f>
        <v>57499.999999999993</v>
      </c>
      <c r="AG47" s="24">
        <f>($G47*Assumptions!AG47)*(1+'Cost Buildup'!$H47)^(AG$3-1)</f>
        <v>57499.999999999993</v>
      </c>
      <c r="AH47" s="24">
        <f>($G47*Assumptions!AH47)*(1+'Cost Buildup'!$H47)^(AH$3-1)</f>
        <v>57499.999999999993</v>
      </c>
      <c r="AI47" s="24">
        <f>($G47*Assumptions!AI47)*(1+'Cost Buildup'!$H47)^(AI$3-1)</f>
        <v>57499.999999999993</v>
      </c>
      <c r="AJ47" s="24">
        <f>($G47*Assumptions!AJ47)*(1+'Cost Buildup'!$H47)^(AJ$3-1)</f>
        <v>57499.999999999993</v>
      </c>
      <c r="AK47" s="24">
        <f>($G47*Assumptions!AK47)*(1+'Cost Buildup'!$H47)^(AK$3-1)</f>
        <v>132249.99999999997</v>
      </c>
      <c r="AL47" s="24">
        <f>($G47*Assumptions!AL47)*(1+'Cost Buildup'!$H47)^(AL$3-1)</f>
        <v>132249.99999999997</v>
      </c>
      <c r="AM47" s="24">
        <f>($G47*Assumptions!AM47)*(1+'Cost Buildup'!$H47)^(AM$3-1)</f>
        <v>132249.99999999997</v>
      </c>
      <c r="AN47" s="24">
        <f>($G47*Assumptions!AN47)*(1+'Cost Buildup'!$H47)^(AN$3-1)</f>
        <v>132249.99999999997</v>
      </c>
      <c r="AO47" s="24">
        <f>($G47*Assumptions!AO47)*(1+'Cost Buildup'!$H47)^(AO$3-1)</f>
        <v>132249.99999999997</v>
      </c>
      <c r="AP47" s="24">
        <f>($G47*Assumptions!AP47)*(1+'Cost Buildup'!$H47)^(AP$3-1)</f>
        <v>132249.99999999997</v>
      </c>
      <c r="AQ47" s="24">
        <f>($G47*Assumptions!AQ47)*(1+'Cost Buildup'!$H47)^(AQ$3-1)</f>
        <v>132249.99999999997</v>
      </c>
      <c r="AR47" s="24">
        <f>($G47*Assumptions!AR47)*(1+'Cost Buildup'!$H47)^(AR$3-1)</f>
        <v>132249.99999999997</v>
      </c>
      <c r="AS47" s="24">
        <f>($G47*Assumptions!AS47)*(1+'Cost Buildup'!$H47)^(AS$3-1)</f>
        <v>132249.99999999997</v>
      </c>
      <c r="AT47" s="24">
        <f>($G47*Assumptions!AT47)*(1+'Cost Buildup'!$H47)^(AT$3-1)</f>
        <v>132249.99999999997</v>
      </c>
      <c r="AU47" s="24">
        <f>($G47*Assumptions!AU47)*(1+'Cost Buildup'!$H47)^(AU$3-1)</f>
        <v>132249.99999999997</v>
      </c>
      <c r="AV47" s="24">
        <f>($G47*Assumptions!AV47)*(1+'Cost Buildup'!$H47)^(AV$3-1)</f>
        <v>132249.99999999997</v>
      </c>
      <c r="AW47" s="24">
        <f>($G47*Assumptions!AW47)*(1+'Cost Buildup'!$H47)^(AW$3-1)</f>
        <v>152087.49999999994</v>
      </c>
      <c r="AX47" s="24">
        <f>($G47*Assumptions!AX47)*(1+'Cost Buildup'!$H47)^(AX$3-1)</f>
        <v>152087.49999999994</v>
      </c>
      <c r="AY47" s="24">
        <f>($G47*Assumptions!AY47)*(1+'Cost Buildup'!$H47)^(AY$3-1)</f>
        <v>152087.49999999994</v>
      </c>
      <c r="AZ47" s="24">
        <f>($G47*Assumptions!AZ47)*(1+'Cost Buildup'!$H47)^(AZ$3-1)</f>
        <v>152087.49999999994</v>
      </c>
      <c r="BA47" s="24">
        <f>($G47*Assumptions!BA47)*(1+'Cost Buildup'!$H47)^(BA$3-1)</f>
        <v>152087.49999999994</v>
      </c>
      <c r="BB47" s="24">
        <f>($G47*Assumptions!BB47)*(1+'Cost Buildup'!$H47)^(BB$3-1)</f>
        <v>152087.49999999994</v>
      </c>
      <c r="BC47" s="24">
        <f>($G47*Assumptions!BC47)*(1+'Cost Buildup'!$H47)^(BC$3-1)</f>
        <v>152087.49999999994</v>
      </c>
      <c r="BD47" s="24">
        <f>($G47*Assumptions!BD47)*(1+'Cost Buildup'!$H47)^(BD$3-1)</f>
        <v>152087.49999999994</v>
      </c>
      <c r="BE47" s="24">
        <f>($G47*Assumptions!BE47)*(1+'Cost Buildup'!$H47)^(BE$3-1)</f>
        <v>152087.49999999994</v>
      </c>
      <c r="BF47" s="24">
        <f>($G47*Assumptions!BF47)*(1+'Cost Buildup'!$H47)^(BF$3-1)</f>
        <v>152087.49999999994</v>
      </c>
      <c r="BG47" s="24">
        <f>($G47*Assumptions!BG47)*(1+'Cost Buildup'!$H47)^(BG$3-1)</f>
        <v>152087.49999999994</v>
      </c>
      <c r="BH47" s="24">
        <f>($G47*Assumptions!BH47)*(1+'Cost Buildup'!$H47)^(BH$3-1)</f>
        <v>152087.49999999994</v>
      </c>
      <c r="BI47" s="24">
        <f>($G47*Assumptions!BI47)*(1+'Cost Buildup'!$H47)^(BI$3-1)</f>
        <v>174900.62499999994</v>
      </c>
      <c r="BJ47" s="24">
        <f>($G47*Assumptions!BJ47)*(1+'Cost Buildup'!$H47)^(BJ$3-1)</f>
        <v>174900.62499999994</v>
      </c>
      <c r="BK47" s="24">
        <f>($G47*Assumptions!BK47)*(1+'Cost Buildup'!$H47)^(BK$3-1)</f>
        <v>174900.62499999994</v>
      </c>
      <c r="BL47" s="24">
        <f>($G47*Assumptions!BL47)*(1+'Cost Buildup'!$H47)^(BL$3-1)</f>
        <v>174900.62499999994</v>
      </c>
      <c r="BM47" s="24">
        <f>($G47*Assumptions!BM47)*(1+'Cost Buildup'!$H47)^(BM$3-1)</f>
        <v>174900.62499999994</v>
      </c>
      <c r="BN47" s="24">
        <f>($G47*Assumptions!BN47)*(1+'Cost Buildup'!$H47)^(BN$3-1)</f>
        <v>174900.62499999994</v>
      </c>
      <c r="BO47" s="24">
        <f>($G47*Assumptions!BO47)*(1+'Cost Buildup'!$H47)^(BO$3-1)</f>
        <v>174900.62499999994</v>
      </c>
      <c r="BP47" s="24">
        <f>($G47*Assumptions!BP47)*(1+'Cost Buildup'!$H47)^(BP$3-1)</f>
        <v>174900.62499999994</v>
      </c>
      <c r="BQ47" s="24">
        <f>($G47*Assumptions!BQ47)*(1+'Cost Buildup'!$H47)^(BQ$3-1)</f>
        <v>174900.62499999994</v>
      </c>
      <c r="BR47" s="24">
        <f>($G47*Assumptions!BR47)*(1+'Cost Buildup'!$H47)^(BR$3-1)</f>
        <v>174900.62499999994</v>
      </c>
      <c r="BS47" s="24">
        <f>($G47*Assumptions!BS47)*(1+'Cost Buildup'!$H47)^(BS$3-1)</f>
        <v>174900.62499999994</v>
      </c>
      <c r="BT47" s="24">
        <f>($G47*Assumptions!BT47)*(1+'Cost Buildup'!$H47)^(BT$3-1)</f>
        <v>174900.62499999994</v>
      </c>
      <c r="BU47" s="11"/>
      <c r="BV47" s="37">
        <f t="shared" si="72"/>
        <v>0</v>
      </c>
      <c r="BW47" s="37">
        <f t="shared" si="72"/>
        <v>344999.99999999994</v>
      </c>
      <c r="BX47" s="37">
        <f t="shared" si="72"/>
        <v>1586999.9999999998</v>
      </c>
      <c r="BY47" s="37">
        <f t="shared" si="72"/>
        <v>1825049.9999999998</v>
      </c>
      <c r="BZ47" s="37">
        <f t="shared" si="72"/>
        <v>2098807.4999999995</v>
      </c>
    </row>
    <row r="48" spans="1:78" x14ac:dyDescent="0.3">
      <c r="A48" s="30" t="str">
        <f>Assumptions!A48</f>
        <v>Content &amp; Creative</v>
      </c>
      <c r="F48" s="60" t="str">
        <f>Assumptions!F48</f>
        <v>Monthly Salary/Headcount</v>
      </c>
      <c r="G48" s="63">
        <f>Assumptions!G48</f>
        <v>50000</v>
      </c>
      <c r="H48" s="63">
        <f>Assumptions!H48</f>
        <v>0.15</v>
      </c>
      <c r="I48" s="123" t="str">
        <f>Assumptions!I48</f>
        <v>Annual Increment</v>
      </c>
      <c r="M48" s="24">
        <f>($G48*Assumptions!M48)*(1+'Cost Buildup'!$H48)^(M$3-1)</f>
        <v>50000</v>
      </c>
      <c r="N48" s="24">
        <f>($G48*Assumptions!N48)*(1+'Cost Buildup'!$H48)^(N$3-1)</f>
        <v>50000</v>
      </c>
      <c r="O48" s="24">
        <f>($G48*Assumptions!O48)*(1+'Cost Buildup'!$H48)^(O$3-1)</f>
        <v>50000</v>
      </c>
      <c r="P48" s="24">
        <f>($G48*Assumptions!P48)*(1+'Cost Buildup'!$H48)^(P$3-1)</f>
        <v>50000</v>
      </c>
      <c r="Q48" s="24">
        <f>($G48*Assumptions!Q48)*(1+'Cost Buildup'!$H48)^(Q$3-1)</f>
        <v>50000</v>
      </c>
      <c r="R48" s="24">
        <f>($G48*Assumptions!R48)*(1+'Cost Buildup'!$H48)^(R$3-1)</f>
        <v>50000</v>
      </c>
      <c r="S48" s="24">
        <f>($G48*Assumptions!S48)*(1+'Cost Buildup'!$H48)^(S$3-1)</f>
        <v>50000</v>
      </c>
      <c r="T48" s="24">
        <f>($G48*Assumptions!T48)*(1+'Cost Buildup'!$H48)^(T$3-1)</f>
        <v>50000</v>
      </c>
      <c r="U48" s="24">
        <f>($G48*Assumptions!U48)*(1+'Cost Buildup'!$H48)^(U$3-1)</f>
        <v>50000</v>
      </c>
      <c r="V48" s="24">
        <f>($G48*Assumptions!V48)*(1+'Cost Buildup'!$H48)^(V$3-1)</f>
        <v>50000</v>
      </c>
      <c r="W48" s="24">
        <f>($G48*Assumptions!W48)*(1+'Cost Buildup'!$H48)^(W$3-1)</f>
        <v>50000</v>
      </c>
      <c r="X48" s="24">
        <f>($G48*Assumptions!X48)*(1+'Cost Buildup'!$H48)^(X$3-1)</f>
        <v>50000</v>
      </c>
      <c r="Y48" s="24">
        <f>($G48*Assumptions!Y48)*(1+'Cost Buildup'!$H48)^(Y$3-1)</f>
        <v>57499.999999999993</v>
      </c>
      <c r="Z48" s="24">
        <f>($G48*Assumptions!Z48)*(1+'Cost Buildup'!$H48)^(Z$3-1)</f>
        <v>57499.999999999993</v>
      </c>
      <c r="AA48" s="24">
        <f>($G48*Assumptions!AA48)*(1+'Cost Buildup'!$H48)^(AA$3-1)</f>
        <v>57499.999999999993</v>
      </c>
      <c r="AB48" s="24">
        <f>($G48*Assumptions!AB48)*(1+'Cost Buildup'!$H48)^(AB$3-1)</f>
        <v>57499.999999999993</v>
      </c>
      <c r="AC48" s="24">
        <f>($G48*Assumptions!AC48)*(1+'Cost Buildup'!$H48)^(AC$3-1)</f>
        <v>57499.999999999993</v>
      </c>
      <c r="AD48" s="24">
        <f>($G48*Assumptions!AD48)*(1+'Cost Buildup'!$H48)^(AD$3-1)</f>
        <v>57499.999999999993</v>
      </c>
      <c r="AE48" s="24">
        <f>($G48*Assumptions!AE48)*(1+'Cost Buildup'!$H48)^(AE$3-1)</f>
        <v>114999.99999999999</v>
      </c>
      <c r="AF48" s="24">
        <f>($G48*Assumptions!AF48)*(1+'Cost Buildup'!$H48)^(AF$3-1)</f>
        <v>114999.99999999999</v>
      </c>
      <c r="AG48" s="24">
        <f>($G48*Assumptions!AG48)*(1+'Cost Buildup'!$H48)^(AG$3-1)</f>
        <v>114999.99999999999</v>
      </c>
      <c r="AH48" s="24">
        <f>($G48*Assumptions!AH48)*(1+'Cost Buildup'!$H48)^(AH$3-1)</f>
        <v>114999.99999999999</v>
      </c>
      <c r="AI48" s="24">
        <f>($G48*Assumptions!AI48)*(1+'Cost Buildup'!$H48)^(AI$3-1)</f>
        <v>114999.99999999999</v>
      </c>
      <c r="AJ48" s="24">
        <f>($G48*Assumptions!AJ48)*(1+'Cost Buildup'!$H48)^(AJ$3-1)</f>
        <v>114999.99999999999</v>
      </c>
      <c r="AK48" s="24">
        <f>($G48*Assumptions!AK48)*(1+'Cost Buildup'!$H48)^(AK$3-1)</f>
        <v>198374.99999999997</v>
      </c>
      <c r="AL48" s="24">
        <f>($G48*Assumptions!AL48)*(1+'Cost Buildup'!$H48)^(AL$3-1)</f>
        <v>198374.99999999997</v>
      </c>
      <c r="AM48" s="24">
        <f>($G48*Assumptions!AM48)*(1+'Cost Buildup'!$H48)^(AM$3-1)</f>
        <v>198374.99999999997</v>
      </c>
      <c r="AN48" s="24">
        <f>($G48*Assumptions!AN48)*(1+'Cost Buildup'!$H48)^(AN$3-1)</f>
        <v>198374.99999999997</v>
      </c>
      <c r="AO48" s="24">
        <f>($G48*Assumptions!AO48)*(1+'Cost Buildup'!$H48)^(AO$3-1)</f>
        <v>198374.99999999997</v>
      </c>
      <c r="AP48" s="24">
        <f>($G48*Assumptions!AP48)*(1+'Cost Buildup'!$H48)^(AP$3-1)</f>
        <v>198374.99999999997</v>
      </c>
      <c r="AQ48" s="24">
        <f>($G48*Assumptions!AQ48)*(1+'Cost Buildup'!$H48)^(AQ$3-1)</f>
        <v>198374.99999999997</v>
      </c>
      <c r="AR48" s="24">
        <f>($G48*Assumptions!AR48)*(1+'Cost Buildup'!$H48)^(AR$3-1)</f>
        <v>198374.99999999997</v>
      </c>
      <c r="AS48" s="24">
        <f>($G48*Assumptions!AS48)*(1+'Cost Buildup'!$H48)^(AS$3-1)</f>
        <v>198374.99999999997</v>
      </c>
      <c r="AT48" s="24">
        <f>($G48*Assumptions!AT48)*(1+'Cost Buildup'!$H48)^(AT$3-1)</f>
        <v>198374.99999999997</v>
      </c>
      <c r="AU48" s="24">
        <f>($G48*Assumptions!AU48)*(1+'Cost Buildup'!$H48)^(AU$3-1)</f>
        <v>198374.99999999997</v>
      </c>
      <c r="AV48" s="24">
        <f>($G48*Assumptions!AV48)*(1+'Cost Buildup'!$H48)^(AV$3-1)</f>
        <v>198374.99999999997</v>
      </c>
      <c r="AW48" s="24">
        <f>($G48*Assumptions!AW48)*(1+'Cost Buildup'!$H48)^(AW$3-1)</f>
        <v>228131.24999999994</v>
      </c>
      <c r="AX48" s="24">
        <f>($G48*Assumptions!AX48)*(1+'Cost Buildup'!$H48)^(AX$3-1)</f>
        <v>228131.24999999994</v>
      </c>
      <c r="AY48" s="24">
        <f>($G48*Assumptions!AY48)*(1+'Cost Buildup'!$H48)^(AY$3-1)</f>
        <v>228131.24999999994</v>
      </c>
      <c r="AZ48" s="24">
        <f>($G48*Assumptions!AZ48)*(1+'Cost Buildup'!$H48)^(AZ$3-1)</f>
        <v>228131.24999999994</v>
      </c>
      <c r="BA48" s="24">
        <f>($G48*Assumptions!BA48)*(1+'Cost Buildup'!$H48)^(BA$3-1)</f>
        <v>228131.24999999994</v>
      </c>
      <c r="BB48" s="24">
        <f>($G48*Assumptions!BB48)*(1+'Cost Buildup'!$H48)^(BB$3-1)</f>
        <v>228131.24999999994</v>
      </c>
      <c r="BC48" s="24">
        <f>($G48*Assumptions!BC48)*(1+'Cost Buildup'!$H48)^(BC$3-1)</f>
        <v>228131.24999999994</v>
      </c>
      <c r="BD48" s="24">
        <f>($G48*Assumptions!BD48)*(1+'Cost Buildup'!$H48)^(BD$3-1)</f>
        <v>228131.24999999994</v>
      </c>
      <c r="BE48" s="24">
        <f>($G48*Assumptions!BE48)*(1+'Cost Buildup'!$H48)^(BE$3-1)</f>
        <v>228131.24999999994</v>
      </c>
      <c r="BF48" s="24">
        <f>($G48*Assumptions!BF48)*(1+'Cost Buildup'!$H48)^(BF$3-1)</f>
        <v>228131.24999999994</v>
      </c>
      <c r="BG48" s="24">
        <f>($G48*Assumptions!BG48)*(1+'Cost Buildup'!$H48)^(BG$3-1)</f>
        <v>228131.24999999994</v>
      </c>
      <c r="BH48" s="24">
        <f>($G48*Assumptions!BH48)*(1+'Cost Buildup'!$H48)^(BH$3-1)</f>
        <v>228131.24999999994</v>
      </c>
      <c r="BI48" s="24">
        <f>($G48*Assumptions!BI48)*(1+'Cost Buildup'!$H48)^(BI$3-1)</f>
        <v>262350.93749999994</v>
      </c>
      <c r="BJ48" s="24">
        <f>($G48*Assumptions!BJ48)*(1+'Cost Buildup'!$H48)^(BJ$3-1)</f>
        <v>262350.93749999994</v>
      </c>
      <c r="BK48" s="24">
        <f>($G48*Assumptions!BK48)*(1+'Cost Buildup'!$H48)^(BK$3-1)</f>
        <v>262350.93749999994</v>
      </c>
      <c r="BL48" s="24">
        <f>($G48*Assumptions!BL48)*(1+'Cost Buildup'!$H48)^(BL$3-1)</f>
        <v>262350.93749999994</v>
      </c>
      <c r="BM48" s="24">
        <f>($G48*Assumptions!BM48)*(1+'Cost Buildup'!$H48)^(BM$3-1)</f>
        <v>262350.93749999994</v>
      </c>
      <c r="BN48" s="24">
        <f>($G48*Assumptions!BN48)*(1+'Cost Buildup'!$H48)^(BN$3-1)</f>
        <v>262350.93749999994</v>
      </c>
      <c r="BO48" s="24">
        <f>($G48*Assumptions!BO48)*(1+'Cost Buildup'!$H48)^(BO$3-1)</f>
        <v>262350.93749999994</v>
      </c>
      <c r="BP48" s="24">
        <f>($G48*Assumptions!BP48)*(1+'Cost Buildup'!$H48)^(BP$3-1)</f>
        <v>262350.93749999994</v>
      </c>
      <c r="BQ48" s="24">
        <f>($G48*Assumptions!BQ48)*(1+'Cost Buildup'!$H48)^(BQ$3-1)</f>
        <v>262350.93749999994</v>
      </c>
      <c r="BR48" s="24">
        <f>($G48*Assumptions!BR48)*(1+'Cost Buildup'!$H48)^(BR$3-1)</f>
        <v>262350.93749999994</v>
      </c>
      <c r="BS48" s="24">
        <f>($G48*Assumptions!BS48)*(1+'Cost Buildup'!$H48)^(BS$3-1)</f>
        <v>262350.93749999994</v>
      </c>
      <c r="BT48" s="24">
        <f>($G48*Assumptions!BT48)*(1+'Cost Buildup'!$H48)^(BT$3-1)</f>
        <v>262350.93749999994</v>
      </c>
      <c r="BU48" s="11"/>
      <c r="BV48" s="37">
        <f t="shared" si="72"/>
        <v>600000</v>
      </c>
      <c r="BW48" s="37">
        <f t="shared" si="72"/>
        <v>1034999.9999999999</v>
      </c>
      <c r="BX48" s="37">
        <f t="shared" si="72"/>
        <v>2380499.9999999995</v>
      </c>
      <c r="BY48" s="37">
        <f t="shared" si="72"/>
        <v>2737574.9999999995</v>
      </c>
      <c r="BZ48" s="37">
        <f t="shared" si="72"/>
        <v>3148211.2499999995</v>
      </c>
    </row>
    <row r="49" spans="1:78" x14ac:dyDescent="0.3">
      <c r="A49" s="22" t="s">
        <v>156</v>
      </c>
      <c r="M49" s="127">
        <f>SUM(M45:M48)</f>
        <v>125000</v>
      </c>
      <c r="N49" s="127">
        <f t="shared" ref="N49:BT49" si="78">SUM(N45:N48)</f>
        <v>125000</v>
      </c>
      <c r="O49" s="127">
        <f t="shared" si="78"/>
        <v>125000</v>
      </c>
      <c r="P49" s="127">
        <f t="shared" si="78"/>
        <v>125000</v>
      </c>
      <c r="Q49" s="127">
        <f t="shared" si="78"/>
        <v>125000</v>
      </c>
      <c r="R49" s="127">
        <f t="shared" si="78"/>
        <v>125000</v>
      </c>
      <c r="S49" s="127">
        <f t="shared" si="78"/>
        <v>125000</v>
      </c>
      <c r="T49" s="127">
        <f t="shared" si="78"/>
        <v>125000</v>
      </c>
      <c r="U49" s="127">
        <f t="shared" si="78"/>
        <v>125000</v>
      </c>
      <c r="V49" s="127">
        <f t="shared" si="78"/>
        <v>125000</v>
      </c>
      <c r="W49" s="127">
        <f t="shared" si="78"/>
        <v>125000</v>
      </c>
      <c r="X49" s="127">
        <f t="shared" si="78"/>
        <v>125000</v>
      </c>
      <c r="Y49" s="127">
        <f t="shared" si="78"/>
        <v>230000</v>
      </c>
      <c r="Z49" s="127">
        <f t="shared" si="78"/>
        <v>230000</v>
      </c>
      <c r="AA49" s="127">
        <f t="shared" si="78"/>
        <v>230000</v>
      </c>
      <c r="AB49" s="127">
        <f t="shared" si="78"/>
        <v>230000</v>
      </c>
      <c r="AC49" s="127">
        <f t="shared" si="78"/>
        <v>230000</v>
      </c>
      <c r="AD49" s="127">
        <f t="shared" si="78"/>
        <v>230000</v>
      </c>
      <c r="AE49" s="127">
        <f t="shared" si="78"/>
        <v>460000</v>
      </c>
      <c r="AF49" s="127">
        <f t="shared" si="78"/>
        <v>460000</v>
      </c>
      <c r="AG49" s="127">
        <f t="shared" si="78"/>
        <v>460000</v>
      </c>
      <c r="AH49" s="127">
        <f t="shared" si="78"/>
        <v>460000</v>
      </c>
      <c r="AI49" s="127">
        <f t="shared" si="78"/>
        <v>460000</v>
      </c>
      <c r="AJ49" s="127">
        <f t="shared" si="78"/>
        <v>460000</v>
      </c>
      <c r="AK49" s="127">
        <f t="shared" si="78"/>
        <v>859624.99999999988</v>
      </c>
      <c r="AL49" s="127">
        <f t="shared" si="78"/>
        <v>859624.99999999988</v>
      </c>
      <c r="AM49" s="127">
        <f t="shared" si="78"/>
        <v>859624.99999999988</v>
      </c>
      <c r="AN49" s="127">
        <f t="shared" si="78"/>
        <v>859624.99999999988</v>
      </c>
      <c r="AO49" s="127">
        <f t="shared" si="78"/>
        <v>859624.99999999988</v>
      </c>
      <c r="AP49" s="127">
        <f t="shared" si="78"/>
        <v>859624.99999999988</v>
      </c>
      <c r="AQ49" s="127">
        <f t="shared" si="78"/>
        <v>859624.99999999988</v>
      </c>
      <c r="AR49" s="127">
        <f t="shared" si="78"/>
        <v>859624.99999999988</v>
      </c>
      <c r="AS49" s="127">
        <f t="shared" si="78"/>
        <v>859624.99999999988</v>
      </c>
      <c r="AT49" s="127">
        <f t="shared" si="78"/>
        <v>859624.99999999988</v>
      </c>
      <c r="AU49" s="127">
        <f t="shared" si="78"/>
        <v>859624.99999999988</v>
      </c>
      <c r="AV49" s="127">
        <f t="shared" si="78"/>
        <v>859624.99999999988</v>
      </c>
      <c r="AW49" s="127">
        <f t="shared" si="78"/>
        <v>988568.74999999977</v>
      </c>
      <c r="AX49" s="127">
        <f t="shared" si="78"/>
        <v>988568.74999999977</v>
      </c>
      <c r="AY49" s="127">
        <f t="shared" si="78"/>
        <v>988568.74999999977</v>
      </c>
      <c r="AZ49" s="127">
        <f t="shared" si="78"/>
        <v>988568.74999999977</v>
      </c>
      <c r="BA49" s="127">
        <f t="shared" si="78"/>
        <v>988568.74999999977</v>
      </c>
      <c r="BB49" s="127">
        <f t="shared" si="78"/>
        <v>988568.74999999977</v>
      </c>
      <c r="BC49" s="127">
        <f t="shared" si="78"/>
        <v>988568.74999999977</v>
      </c>
      <c r="BD49" s="127">
        <f t="shared" si="78"/>
        <v>988568.74999999977</v>
      </c>
      <c r="BE49" s="127">
        <f t="shared" si="78"/>
        <v>988568.74999999977</v>
      </c>
      <c r="BF49" s="127">
        <f t="shared" si="78"/>
        <v>988568.74999999977</v>
      </c>
      <c r="BG49" s="127">
        <f t="shared" si="78"/>
        <v>988568.74999999977</v>
      </c>
      <c r="BH49" s="127">
        <f t="shared" si="78"/>
        <v>988568.74999999977</v>
      </c>
      <c r="BI49" s="127">
        <f t="shared" si="78"/>
        <v>1136854.0624999998</v>
      </c>
      <c r="BJ49" s="127">
        <f t="shared" si="78"/>
        <v>1136854.0624999998</v>
      </c>
      <c r="BK49" s="127">
        <f t="shared" si="78"/>
        <v>1136854.0624999998</v>
      </c>
      <c r="BL49" s="127">
        <f t="shared" si="78"/>
        <v>1136854.0624999998</v>
      </c>
      <c r="BM49" s="127">
        <f t="shared" si="78"/>
        <v>1136854.0624999998</v>
      </c>
      <c r="BN49" s="127">
        <f t="shared" si="78"/>
        <v>1136854.0624999998</v>
      </c>
      <c r="BO49" s="127">
        <f t="shared" si="78"/>
        <v>1136854.0624999998</v>
      </c>
      <c r="BP49" s="127">
        <f t="shared" si="78"/>
        <v>1136854.0624999998</v>
      </c>
      <c r="BQ49" s="127">
        <f t="shared" si="78"/>
        <v>1136854.0624999998</v>
      </c>
      <c r="BR49" s="127">
        <f t="shared" si="78"/>
        <v>1136854.0624999998</v>
      </c>
      <c r="BS49" s="127">
        <f t="shared" si="78"/>
        <v>1136854.0624999998</v>
      </c>
      <c r="BT49" s="127">
        <f t="shared" si="78"/>
        <v>1136854.0624999998</v>
      </c>
      <c r="BU49" s="11"/>
      <c r="BV49" s="131">
        <f t="shared" si="72"/>
        <v>1500000</v>
      </c>
      <c r="BW49" s="131">
        <f t="shared" si="72"/>
        <v>4140000</v>
      </c>
      <c r="BX49" s="131">
        <f t="shared" si="72"/>
        <v>10315499.999999998</v>
      </c>
      <c r="BY49" s="131">
        <f t="shared" si="72"/>
        <v>11862824.999999998</v>
      </c>
      <c r="BZ49" s="131">
        <f t="shared" si="72"/>
        <v>13642248.749999998</v>
      </c>
    </row>
    <row r="50" spans="1:78" x14ac:dyDescent="0.3">
      <c r="A50" s="22" t="s">
        <v>157</v>
      </c>
      <c r="M50" s="75">
        <f>M49</f>
        <v>125000</v>
      </c>
      <c r="N50" s="75">
        <f t="shared" ref="N50:BT50" si="79">N49</f>
        <v>125000</v>
      </c>
      <c r="O50" s="75">
        <f t="shared" si="79"/>
        <v>125000</v>
      </c>
      <c r="P50" s="75">
        <f t="shared" si="79"/>
        <v>125000</v>
      </c>
      <c r="Q50" s="75">
        <f t="shared" si="79"/>
        <v>125000</v>
      </c>
      <c r="R50" s="75">
        <f t="shared" si="79"/>
        <v>125000</v>
      </c>
      <c r="S50" s="75">
        <f t="shared" si="79"/>
        <v>125000</v>
      </c>
      <c r="T50" s="75">
        <f t="shared" si="79"/>
        <v>125000</v>
      </c>
      <c r="U50" s="75">
        <f t="shared" si="79"/>
        <v>125000</v>
      </c>
      <c r="V50" s="75">
        <f t="shared" si="79"/>
        <v>125000</v>
      </c>
      <c r="W50" s="75">
        <f t="shared" si="79"/>
        <v>125000</v>
      </c>
      <c r="X50" s="75">
        <f t="shared" si="79"/>
        <v>125000</v>
      </c>
      <c r="Y50" s="75">
        <f t="shared" si="79"/>
        <v>230000</v>
      </c>
      <c r="Z50" s="75">
        <f t="shared" si="79"/>
        <v>230000</v>
      </c>
      <c r="AA50" s="75">
        <f t="shared" si="79"/>
        <v>230000</v>
      </c>
      <c r="AB50" s="75">
        <f t="shared" si="79"/>
        <v>230000</v>
      </c>
      <c r="AC50" s="75">
        <f t="shared" si="79"/>
        <v>230000</v>
      </c>
      <c r="AD50" s="75">
        <f t="shared" si="79"/>
        <v>230000</v>
      </c>
      <c r="AE50" s="75">
        <f t="shared" si="79"/>
        <v>460000</v>
      </c>
      <c r="AF50" s="75">
        <f t="shared" si="79"/>
        <v>460000</v>
      </c>
      <c r="AG50" s="75">
        <f t="shared" si="79"/>
        <v>460000</v>
      </c>
      <c r="AH50" s="75">
        <f t="shared" si="79"/>
        <v>460000</v>
      </c>
      <c r="AI50" s="75">
        <f t="shared" si="79"/>
        <v>460000</v>
      </c>
      <c r="AJ50" s="75">
        <f t="shared" si="79"/>
        <v>460000</v>
      </c>
      <c r="AK50" s="75">
        <f t="shared" si="79"/>
        <v>859624.99999999988</v>
      </c>
      <c r="AL50" s="75">
        <f t="shared" si="79"/>
        <v>859624.99999999988</v>
      </c>
      <c r="AM50" s="75">
        <f t="shared" si="79"/>
        <v>859624.99999999988</v>
      </c>
      <c r="AN50" s="75">
        <f t="shared" si="79"/>
        <v>859624.99999999988</v>
      </c>
      <c r="AO50" s="75">
        <f t="shared" si="79"/>
        <v>859624.99999999988</v>
      </c>
      <c r="AP50" s="75">
        <f t="shared" si="79"/>
        <v>859624.99999999988</v>
      </c>
      <c r="AQ50" s="75">
        <f t="shared" si="79"/>
        <v>859624.99999999988</v>
      </c>
      <c r="AR50" s="75">
        <f t="shared" si="79"/>
        <v>859624.99999999988</v>
      </c>
      <c r="AS50" s="75">
        <f t="shared" si="79"/>
        <v>859624.99999999988</v>
      </c>
      <c r="AT50" s="75">
        <f t="shared" si="79"/>
        <v>859624.99999999988</v>
      </c>
      <c r="AU50" s="75">
        <f t="shared" si="79"/>
        <v>859624.99999999988</v>
      </c>
      <c r="AV50" s="75">
        <f t="shared" si="79"/>
        <v>859624.99999999988</v>
      </c>
      <c r="AW50" s="75">
        <f t="shared" si="79"/>
        <v>988568.74999999977</v>
      </c>
      <c r="AX50" s="75">
        <f t="shared" si="79"/>
        <v>988568.74999999977</v>
      </c>
      <c r="AY50" s="75">
        <f t="shared" si="79"/>
        <v>988568.74999999977</v>
      </c>
      <c r="AZ50" s="75">
        <f t="shared" si="79"/>
        <v>988568.74999999977</v>
      </c>
      <c r="BA50" s="75">
        <f t="shared" si="79"/>
        <v>988568.74999999977</v>
      </c>
      <c r="BB50" s="75">
        <f t="shared" si="79"/>
        <v>988568.74999999977</v>
      </c>
      <c r="BC50" s="75">
        <f t="shared" si="79"/>
        <v>988568.74999999977</v>
      </c>
      <c r="BD50" s="75">
        <f t="shared" si="79"/>
        <v>988568.74999999977</v>
      </c>
      <c r="BE50" s="75">
        <f t="shared" si="79"/>
        <v>988568.74999999977</v>
      </c>
      <c r="BF50" s="75">
        <f t="shared" si="79"/>
        <v>988568.74999999977</v>
      </c>
      <c r="BG50" s="75">
        <f t="shared" si="79"/>
        <v>988568.74999999977</v>
      </c>
      <c r="BH50" s="75">
        <f t="shared" si="79"/>
        <v>988568.74999999977</v>
      </c>
      <c r="BI50" s="75">
        <f t="shared" si="79"/>
        <v>1136854.0624999998</v>
      </c>
      <c r="BJ50" s="75">
        <f t="shared" si="79"/>
        <v>1136854.0624999998</v>
      </c>
      <c r="BK50" s="75">
        <f t="shared" si="79"/>
        <v>1136854.0624999998</v>
      </c>
      <c r="BL50" s="75">
        <f t="shared" si="79"/>
        <v>1136854.0624999998</v>
      </c>
      <c r="BM50" s="75">
        <f t="shared" si="79"/>
        <v>1136854.0624999998</v>
      </c>
      <c r="BN50" s="75">
        <f t="shared" si="79"/>
        <v>1136854.0624999998</v>
      </c>
      <c r="BO50" s="75">
        <f t="shared" si="79"/>
        <v>1136854.0624999998</v>
      </c>
      <c r="BP50" s="75">
        <f t="shared" si="79"/>
        <v>1136854.0624999998</v>
      </c>
      <c r="BQ50" s="75">
        <f t="shared" si="79"/>
        <v>1136854.0624999998</v>
      </c>
      <c r="BR50" s="75">
        <f t="shared" si="79"/>
        <v>1136854.0624999998</v>
      </c>
      <c r="BS50" s="75">
        <f t="shared" si="79"/>
        <v>1136854.0624999998</v>
      </c>
      <c r="BT50" s="75">
        <f t="shared" si="79"/>
        <v>1136854.0624999998</v>
      </c>
      <c r="BU50" s="11"/>
      <c r="BV50" s="133">
        <f t="shared" si="72"/>
        <v>1500000</v>
      </c>
      <c r="BW50" s="133">
        <f t="shared" si="72"/>
        <v>4140000</v>
      </c>
      <c r="BX50" s="133">
        <f t="shared" si="72"/>
        <v>10315499.999999998</v>
      </c>
      <c r="BY50" s="133">
        <f t="shared" si="72"/>
        <v>11862824.999999998</v>
      </c>
      <c r="BZ50" s="133">
        <f t="shared" si="72"/>
        <v>13642248.749999998</v>
      </c>
    </row>
    <row r="51" spans="1:78" x14ac:dyDescent="0.3">
      <c r="A51" s="52" t="str">
        <f>Assumptions!A49</f>
        <v>G&amp;A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11"/>
      <c r="BV51" s="51"/>
      <c r="BW51" s="51"/>
      <c r="BX51" s="51"/>
      <c r="BY51" s="51"/>
      <c r="BZ51" s="51"/>
    </row>
    <row r="52" spans="1:78" x14ac:dyDescent="0.3">
      <c r="A52" t="str">
        <f>Assumptions!A50</f>
        <v>Office Rent</v>
      </c>
      <c r="F52" s="25" t="str">
        <f>Assumptions!F50</f>
        <v>Chair/Empoloyee/Monthly</v>
      </c>
      <c r="G52" s="42">
        <f>Assumptions!G50</f>
        <v>7000</v>
      </c>
      <c r="H52" s="42">
        <f>Assumptions!H50</f>
        <v>9367.5790432000031</v>
      </c>
      <c r="M52" s="250">
        <f>Assumptions!M50*M82</f>
        <v>70000</v>
      </c>
      <c r="N52" s="250">
        <f>Assumptions!N50*N82</f>
        <v>70401.284583593224</v>
      </c>
      <c r="O52" s="250">
        <f>Assumptions!O50*O82</f>
        <v>70802.569167186448</v>
      </c>
      <c r="P52" s="250">
        <f>Assumptions!P50*P82</f>
        <v>78324.239125857639</v>
      </c>
      <c r="Q52" s="250">
        <f>Assumptions!Q50*Q82</f>
        <v>85926.166001247475</v>
      </c>
      <c r="R52" s="250">
        <f>Assumptions!R50*R82</f>
        <v>86407.707501559344</v>
      </c>
      <c r="S52" s="250">
        <f>Assumptions!S50*S82</f>
        <v>115852.33200249495</v>
      </c>
      <c r="T52" s="250">
        <f>Assumptions!T50*T82</f>
        <v>116494.38733624411</v>
      </c>
      <c r="U52" s="250">
        <f>Assumptions!U50*U82</f>
        <v>124457.47033686785</v>
      </c>
      <c r="V52" s="250">
        <f>Assumptions!V50*V82</f>
        <v>147223.12250467803</v>
      </c>
      <c r="W52" s="250">
        <f>Assumptions!W50*W82</f>
        <v>155426.9762554577</v>
      </c>
      <c r="X52" s="250">
        <f>Assumptions!X50*X82</f>
        <v>156269.67388100346</v>
      </c>
      <c r="Y52" s="250">
        <f>Assumptions!Y50*Y82</f>
        <v>209483.16200873232</v>
      </c>
      <c r="Z52" s="250">
        <f>Assumptions!Z50*Z82</f>
        <v>210606.75884279335</v>
      </c>
      <c r="AA52" s="250">
        <f>Assumptions!AA50*AA82</f>
        <v>219292.15409388489</v>
      </c>
      <c r="AB52" s="250">
        <f>Assumptions!AB50*AB82</f>
        <v>228057.80626169508</v>
      </c>
      <c r="AC52" s="250">
        <f>Assumptions!AC50*AC82</f>
        <v>236903.71534622391</v>
      </c>
      <c r="AD52" s="250">
        <f>Assumptions!AD50*AD82</f>
        <v>238147.69755536289</v>
      </c>
      <c r="AE52" s="250">
        <f>Assumptions!AE50*AE82</f>
        <v>362948.67577198672</v>
      </c>
      <c r="AF52" s="250">
        <f>Assumptions!AF50*AF82</f>
        <v>372597.15402370202</v>
      </c>
      <c r="AG52" s="250">
        <f>Assumptions!AG50*AG82</f>
        <v>382325.88919213595</v>
      </c>
      <c r="AH52" s="250">
        <f>Assumptions!AH50*AH82</f>
        <v>407820.27652838005</v>
      </c>
      <c r="AI52" s="250">
        <f>Assumptions!AI50*AI82</f>
        <v>417789.78244696988</v>
      </c>
      <c r="AJ52" s="250">
        <f>Assumptions!AJ50*AJ82</f>
        <v>435762.49982454284</v>
      </c>
      <c r="AK52" s="250">
        <f>Assumptions!AK50*AK82</f>
        <v>525563.47804116667</v>
      </c>
      <c r="AL52" s="250">
        <f>Assumptions!AL50*AL82</f>
        <v>536215.167751865</v>
      </c>
      <c r="AM52" s="250">
        <f>Assumptions!AM50*AM82</f>
        <v>546947.11437928199</v>
      </c>
      <c r="AN52" s="250">
        <f>Assumptions!AN50*AN82</f>
        <v>573926.25467482104</v>
      </c>
      <c r="AO52" s="250">
        <f>Assumptions!AO50*AO82</f>
        <v>584898.97205239395</v>
      </c>
      <c r="AP52" s="250">
        <f>Assumptions!AP50*AP82</f>
        <v>595951.94634668552</v>
      </c>
      <c r="AQ52" s="250">
        <f>Assumptions!AQ50*AQ82</f>
        <v>631696.7388100347</v>
      </c>
      <c r="AR52" s="250">
        <f>Assumptions!AR50*AR82</f>
        <v>643030.61231284158</v>
      </c>
      <c r="AS52" s="250">
        <f>Assumptions!AS50*AS82</f>
        <v>654444.74273236701</v>
      </c>
      <c r="AT52" s="250">
        <f>Assumptions!AT50*AT82</f>
        <v>674263.36919446872</v>
      </c>
      <c r="AU52" s="250">
        <f>Assumptions!AU50*AU82</f>
        <v>685878.14190579089</v>
      </c>
      <c r="AV52" s="250">
        <f>Assumptions!AV50*AV82</f>
        <v>705977.66757640778</v>
      </c>
      <c r="AW52" s="250">
        <f>Assumptions!AW50*AW82</f>
        <v>751571.58058326901</v>
      </c>
      <c r="AX52" s="250">
        <f>Assumptions!AX50*AX82</f>
        <v>763627.7663365436</v>
      </c>
      <c r="AY52" s="250">
        <f>Assumptions!AY50*AY82</f>
        <v>784289.09042419109</v>
      </c>
      <c r="AZ52" s="250">
        <f>Assumptions!AZ50*AZ82</f>
        <v>805110.92834527593</v>
      </c>
      <c r="BA52" s="250">
        <f>Assumptions!BA50*BA82</f>
        <v>826093.28009979799</v>
      </c>
      <c r="BB52" s="250">
        <f>Assumptions!BB50*BB82</f>
        <v>838590.87889502512</v>
      </c>
      <c r="BC52" s="250">
        <f>Assumptions!BC50*BC82</f>
        <v>868539.52510915406</v>
      </c>
      <c r="BD52" s="250">
        <f>Assumptions!BD50*BD82</f>
        <v>881277.8946545372</v>
      </c>
      <c r="BE52" s="250">
        <f>Assumptions!BE50*BE82</f>
        <v>902862.17328444915</v>
      </c>
      <c r="BF52" s="250">
        <f>Assumptions!BF50*BF82</f>
        <v>933412.74637396785</v>
      </c>
      <c r="BG52" s="250">
        <f>Assumptions!BG50*BG82</f>
        <v>946512.27204458485</v>
      </c>
      <c r="BH52" s="250">
        <f>Assumptions!BH50*BH82</f>
        <v>968578.09217480861</v>
      </c>
      <c r="BI52" s="250">
        <f>Assumptions!BI50*BI82</f>
        <v>1026509.0901434596</v>
      </c>
      <c r="BJ52" s="250">
        <f>Assumptions!BJ50*BJ82</f>
        <v>1049056.4517739953</v>
      </c>
      <c r="BK52" s="250">
        <f>Assumptions!BK50*BK82</f>
        <v>1071764.3272379683</v>
      </c>
      <c r="BL52" s="250">
        <f>Assumptions!BL50*BL82</f>
        <v>1103679.267911704</v>
      </c>
      <c r="BM52" s="250">
        <f>Assumptions!BM50*BM82</f>
        <v>1126748.2995009108</v>
      </c>
      <c r="BN52" s="250">
        <f>Assumptions!BN50*BN82</f>
        <v>1140851.0366305108</v>
      </c>
      <c r="BO52" s="250">
        <f>Assumptions!BO50*BO82</f>
        <v>1173367.9041796364</v>
      </c>
      <c r="BP52" s="250">
        <f>Assumptions!BP50*BP82</f>
        <v>1196918.4772691552</v>
      </c>
      <c r="BQ52" s="250">
        <f>Assumptions!BQ50*BQ82</f>
        <v>1220629.5641921111</v>
      </c>
      <c r="BR52" s="250">
        <f>Assumptions!BR50*BR82</f>
        <v>1253788.4870749859</v>
      </c>
      <c r="BS52" s="250">
        <f>Assumptions!BS50*BS82</f>
        <v>1277860.7301231758</v>
      </c>
      <c r="BT52" s="250">
        <f>Assumptions!BT50*BT82</f>
        <v>1302093.487004803</v>
      </c>
      <c r="BU52" s="11"/>
      <c r="BV52" s="132">
        <f t="shared" si="72"/>
        <v>1277585.92869619</v>
      </c>
      <c r="BW52" s="132">
        <f t="shared" si="72"/>
        <v>3721735.5718964096</v>
      </c>
      <c r="BX52" s="132">
        <f t="shared" si="72"/>
        <v>7358794.2057781247</v>
      </c>
      <c r="BY52" s="132">
        <f t="shared" si="72"/>
        <v>10270466.228325605</v>
      </c>
      <c r="BZ52" s="132">
        <f t="shared" si="72"/>
        <v>13943267.123042416</v>
      </c>
    </row>
    <row r="53" spans="1:78" x14ac:dyDescent="0.3">
      <c r="A53" t="str">
        <f>Assumptions!A51</f>
        <v>Utilities</v>
      </c>
      <c r="F53" s="25" t="str">
        <f>Assumptions!F51</f>
        <v>Emp/Monthly</v>
      </c>
      <c r="G53" s="42">
        <f>Assumptions!G51</f>
        <v>2000</v>
      </c>
      <c r="H53" s="42">
        <f>Assumptions!H51</f>
        <v>2676.4511552000008</v>
      </c>
      <c r="M53" s="250">
        <f>Assumptions!M51*M82</f>
        <v>20000</v>
      </c>
      <c r="N53" s="250">
        <f>Assumptions!N51*N82</f>
        <v>20114.65273816949</v>
      </c>
      <c r="O53" s="250">
        <f>Assumptions!O51*O82</f>
        <v>20229.305476338981</v>
      </c>
      <c r="P53" s="250">
        <f>Assumptions!P51*P82</f>
        <v>22378.354035959321</v>
      </c>
      <c r="Q53" s="250">
        <f>Assumptions!Q51*Q82</f>
        <v>24550.333143213556</v>
      </c>
      <c r="R53" s="250">
        <f>Assumptions!R51*R82</f>
        <v>24687.91642901695</v>
      </c>
      <c r="S53" s="250">
        <f>Assumptions!S51*S82</f>
        <v>33100.66628642712</v>
      </c>
      <c r="T53" s="250">
        <f>Assumptions!T51*T82</f>
        <v>33284.110667498309</v>
      </c>
      <c r="U53" s="250">
        <f>Assumptions!U51*U82</f>
        <v>35559.277239105089</v>
      </c>
      <c r="V53" s="250">
        <f>Assumptions!V51*V82</f>
        <v>42063.749287050858</v>
      </c>
      <c r="W53" s="250">
        <f>Assumptions!W51*W82</f>
        <v>44407.707501559336</v>
      </c>
      <c r="X53" s="250">
        <f>Assumptions!X51*X82</f>
        <v>44648.478251715271</v>
      </c>
      <c r="Y53" s="250">
        <f>Assumptions!Y51*Y82</f>
        <v>59852.33200249495</v>
      </c>
      <c r="Z53" s="250">
        <f>Assumptions!Z51*Z82</f>
        <v>60173.359669369529</v>
      </c>
      <c r="AA53" s="250">
        <f>Assumptions!AA51*AA82</f>
        <v>62654.901169681398</v>
      </c>
      <c r="AB53" s="250">
        <f>Assumptions!AB51*AB82</f>
        <v>65159.373217627166</v>
      </c>
      <c r="AC53" s="250">
        <f>Assumptions!AC51*AC82</f>
        <v>67686.775813206841</v>
      </c>
      <c r="AD53" s="250">
        <f>Assumptions!AD51*AD82</f>
        <v>68042.199301532266</v>
      </c>
      <c r="AE53" s="250">
        <f>Assumptions!AE51*AE82</f>
        <v>103699.62164913908</v>
      </c>
      <c r="AF53" s="250">
        <f>Assumptions!AF51*AF82</f>
        <v>106456.32972105773</v>
      </c>
      <c r="AG53" s="250">
        <f>Assumptions!AG51*AG82</f>
        <v>109235.96834061028</v>
      </c>
      <c r="AH53" s="250">
        <f>Assumptions!AH51*AH82</f>
        <v>116520.07900810862</v>
      </c>
      <c r="AI53" s="250">
        <f>Assumptions!AI51*AI82</f>
        <v>119368.50927056286</v>
      </c>
      <c r="AJ53" s="250">
        <f>Assumptions!AJ51*AJ82</f>
        <v>124503.57137844084</v>
      </c>
      <c r="AK53" s="250">
        <f>Assumptions!AK51*AK82</f>
        <v>150160.99372604766</v>
      </c>
      <c r="AL53" s="250">
        <f>Assumptions!AL51*AL82</f>
        <v>153204.33364339004</v>
      </c>
      <c r="AM53" s="250">
        <f>Assumptions!AM51*AM82</f>
        <v>156270.60410836633</v>
      </c>
      <c r="AN53" s="250">
        <f>Assumptions!AN51*AN82</f>
        <v>163978.92990709178</v>
      </c>
      <c r="AO53" s="250">
        <f>Assumptions!AO51*AO82</f>
        <v>167113.99201496976</v>
      </c>
      <c r="AP53" s="250">
        <f>Assumptions!AP51*AP82</f>
        <v>170271.98467048164</v>
      </c>
      <c r="AQ53" s="250">
        <f>Assumptions!AQ51*AQ82</f>
        <v>180484.78251715287</v>
      </c>
      <c r="AR53" s="250">
        <f>Assumptions!AR51*AR82</f>
        <v>183723.0320893834</v>
      </c>
      <c r="AS53" s="250">
        <f>Assumptions!AS51*AS82</f>
        <v>186984.21220924781</v>
      </c>
      <c r="AT53" s="250">
        <f>Assumptions!AT51*AT82</f>
        <v>192646.67691270547</v>
      </c>
      <c r="AU53" s="250">
        <f>Assumptions!AU51*AU82</f>
        <v>195965.18340165462</v>
      </c>
      <c r="AV53" s="250">
        <f>Assumptions!AV51*AV82</f>
        <v>201707.90502183093</v>
      </c>
      <c r="AW53" s="250">
        <f>Assumptions!AW51*AW82</f>
        <v>214734.73730950555</v>
      </c>
      <c r="AX53" s="250">
        <f>Assumptions!AX51*AX82</f>
        <v>218179.36181044116</v>
      </c>
      <c r="AY53" s="250">
        <f>Assumptions!AY51*AY82</f>
        <v>224082.59726405476</v>
      </c>
      <c r="AZ53" s="250">
        <f>Assumptions!AZ51*AZ82</f>
        <v>230031.69381293614</v>
      </c>
      <c r="BA53" s="250">
        <f>Assumptions!BA51*BA82</f>
        <v>236026.6514570853</v>
      </c>
      <c r="BB53" s="250">
        <f>Assumptions!BB51*BB82</f>
        <v>239597.39397000737</v>
      </c>
      <c r="BC53" s="250">
        <f>Assumptions!BC51*BC82</f>
        <v>248154.15003118705</v>
      </c>
      <c r="BD53" s="250">
        <f>Assumptions!BD51*BD82</f>
        <v>251793.6841870108</v>
      </c>
      <c r="BE53" s="250">
        <f>Assumptions!BE51*BE82</f>
        <v>257960.62093841421</v>
      </c>
      <c r="BF53" s="250">
        <f>Assumptions!BF51*BF82</f>
        <v>266689.35610684816</v>
      </c>
      <c r="BG53" s="250">
        <f>Assumptions!BG51*BG82</f>
        <v>270432.07772702444</v>
      </c>
      <c r="BH53" s="250">
        <f>Assumptions!BH51*BH82</f>
        <v>276736.59776423126</v>
      </c>
      <c r="BI53" s="250">
        <f>Assumptions!BI51*BI82</f>
        <v>293288.31146956014</v>
      </c>
      <c r="BJ53" s="250">
        <f>Assumptions!BJ51*BJ82</f>
        <v>299730.41479257034</v>
      </c>
      <c r="BK53" s="250">
        <f>Assumptions!BK51*BK82</f>
        <v>306218.37921084836</v>
      </c>
      <c r="BL53" s="250">
        <f>Assumptions!BL51*BL82</f>
        <v>315336.93368905858</v>
      </c>
      <c r="BM53" s="250">
        <f>Assumptions!BM51*BM82</f>
        <v>321928.08557168912</v>
      </c>
      <c r="BN53" s="250">
        <f>Assumptions!BN51*BN82</f>
        <v>325957.43903728912</v>
      </c>
      <c r="BO53" s="250">
        <f>Assumptions!BO51*BO82</f>
        <v>335247.97262275359</v>
      </c>
      <c r="BP53" s="250">
        <f>Assumptions!BP51*BP82</f>
        <v>341976.70779118751</v>
      </c>
      <c r="BQ53" s="250">
        <f>Assumptions!BQ51*BQ82</f>
        <v>348751.30405488925</v>
      </c>
      <c r="BR53" s="250">
        <f>Assumptions!BR51*BR82</f>
        <v>358225.28202142491</v>
      </c>
      <c r="BS53" s="250">
        <f>Assumptions!BS51*BS82</f>
        <v>365103.06574947917</v>
      </c>
      <c r="BT53" s="250">
        <f>Assumptions!BT51*BT82</f>
        <v>372026.71057280124</v>
      </c>
      <c r="BU53" s="11"/>
      <c r="BV53" s="132">
        <f t="shared" si="72"/>
        <v>365024.5510560543</v>
      </c>
      <c r="BW53" s="132">
        <f t="shared" si="72"/>
        <v>1063353.0205418316</v>
      </c>
      <c r="BX53" s="132">
        <f t="shared" si="72"/>
        <v>2102512.6302223224</v>
      </c>
      <c r="BY53" s="132">
        <f t="shared" si="72"/>
        <v>2934418.9223787459</v>
      </c>
      <c r="BZ53" s="132">
        <f t="shared" si="72"/>
        <v>3983790.6065835506</v>
      </c>
    </row>
    <row r="54" spans="1:78" x14ac:dyDescent="0.3">
      <c r="A54" s="29" t="str">
        <f>Assumptions!A52</f>
        <v>G&amp;A Team Roles &amp; Headcount</v>
      </c>
      <c r="BU54" s="11"/>
    </row>
    <row r="55" spans="1:78" x14ac:dyDescent="0.3">
      <c r="A55" t="str">
        <f>Assumptions!A53</f>
        <v>Account &amp; Finance</v>
      </c>
      <c r="F55" s="25" t="str">
        <f>Assumptions!F53</f>
        <v>Monthly Salary/Headcount</v>
      </c>
      <c r="G55" s="27">
        <f>Assumptions!G53</f>
        <v>40000</v>
      </c>
      <c r="H55" s="27">
        <f>Assumptions!H53</f>
        <v>0.15</v>
      </c>
      <c r="I55" s="129" t="str">
        <f>Assumptions!I53</f>
        <v>Annual Increment</v>
      </c>
      <c r="M55" s="24">
        <f>($G55*Assumptions!M53)*(1+'Cost Buildup'!$H55)^(M$3-1)</f>
        <v>40000</v>
      </c>
      <c r="N55" s="24">
        <f>($G55*Assumptions!N53)*(1+'Cost Buildup'!$H55)^(N$3-1)</f>
        <v>40000</v>
      </c>
      <c r="O55" s="24">
        <f>($G55*Assumptions!O53)*(1+'Cost Buildup'!$H55)^(O$3-1)</f>
        <v>40000</v>
      </c>
      <c r="P55" s="24">
        <f>($G55*Assumptions!P53)*(1+'Cost Buildup'!$H55)^(P$3-1)</f>
        <v>40000</v>
      </c>
      <c r="Q55" s="24">
        <f>($G55*Assumptions!Q53)*(1+'Cost Buildup'!$H55)^(Q$3-1)</f>
        <v>40000</v>
      </c>
      <c r="R55" s="24">
        <f>($G55*Assumptions!R53)*(1+'Cost Buildup'!$H55)^(R$3-1)</f>
        <v>40000</v>
      </c>
      <c r="S55" s="24">
        <f>($G55*Assumptions!S53)*(1+'Cost Buildup'!$H55)^(S$3-1)</f>
        <v>40000</v>
      </c>
      <c r="T55" s="24">
        <f>($G55*Assumptions!T53)*(1+'Cost Buildup'!$H55)^(T$3-1)</f>
        <v>40000</v>
      </c>
      <c r="U55" s="24">
        <f>($G55*Assumptions!U53)*(1+'Cost Buildup'!$H55)^(U$3-1)</f>
        <v>40000</v>
      </c>
      <c r="V55" s="24">
        <f>($G55*Assumptions!V53)*(1+'Cost Buildup'!$H55)^(V$3-1)</f>
        <v>40000</v>
      </c>
      <c r="W55" s="24">
        <f>($G55*Assumptions!W53)*(1+'Cost Buildup'!$H55)^(W$3-1)</f>
        <v>40000</v>
      </c>
      <c r="X55" s="24">
        <f>($G55*Assumptions!X53)*(1+'Cost Buildup'!$H55)^(X$3-1)</f>
        <v>40000</v>
      </c>
      <c r="Y55" s="24">
        <f>($G55*Assumptions!Y53)*(1+'Cost Buildup'!$H55)^(Y$3-1)</f>
        <v>92000</v>
      </c>
      <c r="Z55" s="24">
        <f>($G55*Assumptions!Z53)*(1+'Cost Buildup'!$H55)^(Z$3-1)</f>
        <v>92000</v>
      </c>
      <c r="AA55" s="24">
        <f>($G55*Assumptions!AA53)*(1+'Cost Buildup'!$H55)^(AA$3-1)</f>
        <v>92000</v>
      </c>
      <c r="AB55" s="24">
        <f>($G55*Assumptions!AB53)*(1+'Cost Buildup'!$H55)^(AB$3-1)</f>
        <v>92000</v>
      </c>
      <c r="AC55" s="24">
        <f>($G55*Assumptions!AC53)*(1+'Cost Buildup'!$H55)^(AC$3-1)</f>
        <v>92000</v>
      </c>
      <c r="AD55" s="24">
        <f>($G55*Assumptions!AD53)*(1+'Cost Buildup'!$H55)^(AD$3-1)</f>
        <v>92000</v>
      </c>
      <c r="AE55" s="24">
        <f>($G55*Assumptions!AE53)*(1+'Cost Buildup'!$H55)^(AE$3-1)</f>
        <v>92000</v>
      </c>
      <c r="AF55" s="24">
        <f>($G55*Assumptions!AF53)*(1+'Cost Buildup'!$H55)^(AF$3-1)</f>
        <v>92000</v>
      </c>
      <c r="AG55" s="24">
        <f>($G55*Assumptions!AG53)*(1+'Cost Buildup'!$H55)^(AG$3-1)</f>
        <v>92000</v>
      </c>
      <c r="AH55" s="24">
        <f>($G55*Assumptions!AH53)*(1+'Cost Buildup'!$H55)^(AH$3-1)</f>
        <v>92000</v>
      </c>
      <c r="AI55" s="24">
        <f>($G55*Assumptions!AI53)*(1+'Cost Buildup'!$H55)^(AI$3-1)</f>
        <v>92000</v>
      </c>
      <c r="AJ55" s="24">
        <f>($G55*Assumptions!AJ53)*(1+'Cost Buildup'!$H55)^(AJ$3-1)</f>
        <v>92000</v>
      </c>
      <c r="AK55" s="24">
        <f>($G55*Assumptions!AK53)*(1+'Cost Buildup'!$H55)^(AK$3-1)</f>
        <v>105799.99999999999</v>
      </c>
      <c r="AL55" s="24">
        <f>($G55*Assumptions!AL53)*(1+'Cost Buildup'!$H55)^(AL$3-1)</f>
        <v>105799.99999999999</v>
      </c>
      <c r="AM55" s="24">
        <f>($G55*Assumptions!AM53)*(1+'Cost Buildup'!$H55)^(AM$3-1)</f>
        <v>105799.99999999999</v>
      </c>
      <c r="AN55" s="24">
        <f>($G55*Assumptions!AN53)*(1+'Cost Buildup'!$H55)^(AN$3-1)</f>
        <v>105799.99999999999</v>
      </c>
      <c r="AO55" s="24">
        <f>($G55*Assumptions!AO53)*(1+'Cost Buildup'!$H55)^(AO$3-1)</f>
        <v>105799.99999999999</v>
      </c>
      <c r="AP55" s="24">
        <f>($G55*Assumptions!AP53)*(1+'Cost Buildup'!$H55)^(AP$3-1)</f>
        <v>105799.99999999999</v>
      </c>
      <c r="AQ55" s="24">
        <f>($G55*Assumptions!AQ53)*(1+'Cost Buildup'!$H55)^(AQ$3-1)</f>
        <v>105799.99999999999</v>
      </c>
      <c r="AR55" s="24">
        <f>($G55*Assumptions!AR53)*(1+'Cost Buildup'!$H55)^(AR$3-1)</f>
        <v>105799.99999999999</v>
      </c>
      <c r="AS55" s="24">
        <f>($G55*Assumptions!AS53)*(1+'Cost Buildup'!$H55)^(AS$3-1)</f>
        <v>105799.99999999999</v>
      </c>
      <c r="AT55" s="24">
        <f>($G55*Assumptions!AT53)*(1+'Cost Buildup'!$H55)^(AT$3-1)</f>
        <v>105799.99999999999</v>
      </c>
      <c r="AU55" s="24">
        <f>($G55*Assumptions!AU53)*(1+'Cost Buildup'!$H55)^(AU$3-1)</f>
        <v>105799.99999999999</v>
      </c>
      <c r="AV55" s="24">
        <f>($G55*Assumptions!AV53)*(1+'Cost Buildup'!$H55)^(AV$3-1)</f>
        <v>105799.99999999999</v>
      </c>
      <c r="AW55" s="24">
        <f>($G55*Assumptions!AW53)*(1+'Cost Buildup'!$H55)^(AW$3-1)</f>
        <v>121669.99999999996</v>
      </c>
      <c r="AX55" s="24">
        <f>($G55*Assumptions!AX53)*(1+'Cost Buildup'!$H55)^(AX$3-1)</f>
        <v>121669.99999999996</v>
      </c>
      <c r="AY55" s="24">
        <f>($G55*Assumptions!AY53)*(1+'Cost Buildup'!$H55)^(AY$3-1)</f>
        <v>121669.99999999996</v>
      </c>
      <c r="AZ55" s="24">
        <f>($G55*Assumptions!AZ53)*(1+'Cost Buildup'!$H55)^(AZ$3-1)</f>
        <v>121669.99999999996</v>
      </c>
      <c r="BA55" s="24">
        <f>($G55*Assumptions!BA53)*(1+'Cost Buildup'!$H55)^(BA$3-1)</f>
        <v>121669.99999999996</v>
      </c>
      <c r="BB55" s="24">
        <f>($G55*Assumptions!BB53)*(1+'Cost Buildup'!$H55)^(BB$3-1)</f>
        <v>121669.99999999996</v>
      </c>
      <c r="BC55" s="24">
        <f>($G55*Assumptions!BC53)*(1+'Cost Buildup'!$H55)^(BC$3-1)</f>
        <v>121669.99999999996</v>
      </c>
      <c r="BD55" s="24">
        <f>($G55*Assumptions!BD53)*(1+'Cost Buildup'!$H55)^(BD$3-1)</f>
        <v>121669.99999999996</v>
      </c>
      <c r="BE55" s="24">
        <f>($G55*Assumptions!BE53)*(1+'Cost Buildup'!$H55)^(BE$3-1)</f>
        <v>121669.99999999996</v>
      </c>
      <c r="BF55" s="24">
        <f>($G55*Assumptions!BF53)*(1+'Cost Buildup'!$H55)^(BF$3-1)</f>
        <v>121669.99999999996</v>
      </c>
      <c r="BG55" s="24">
        <f>($G55*Assumptions!BG53)*(1+'Cost Buildup'!$H55)^(BG$3-1)</f>
        <v>121669.99999999996</v>
      </c>
      <c r="BH55" s="24">
        <f>($G55*Assumptions!BH53)*(1+'Cost Buildup'!$H55)^(BH$3-1)</f>
        <v>121669.99999999996</v>
      </c>
      <c r="BI55" s="24">
        <f>($G55*Assumptions!BI53)*(1+'Cost Buildup'!$H55)^(BI$3-1)</f>
        <v>139920.49999999994</v>
      </c>
      <c r="BJ55" s="24">
        <f>($G55*Assumptions!BJ53)*(1+'Cost Buildup'!$H55)^(BJ$3-1)</f>
        <v>139920.49999999994</v>
      </c>
      <c r="BK55" s="24">
        <f>($G55*Assumptions!BK53)*(1+'Cost Buildup'!$H55)^(BK$3-1)</f>
        <v>139920.49999999994</v>
      </c>
      <c r="BL55" s="24">
        <f>($G55*Assumptions!BL53)*(1+'Cost Buildup'!$H55)^(BL$3-1)</f>
        <v>139920.49999999994</v>
      </c>
      <c r="BM55" s="24">
        <f>($G55*Assumptions!BM53)*(1+'Cost Buildup'!$H55)^(BM$3-1)</f>
        <v>139920.49999999994</v>
      </c>
      <c r="BN55" s="24">
        <f>($G55*Assumptions!BN53)*(1+'Cost Buildup'!$H55)^(BN$3-1)</f>
        <v>139920.49999999994</v>
      </c>
      <c r="BO55" s="24">
        <f>($G55*Assumptions!BO53)*(1+'Cost Buildup'!$H55)^(BO$3-1)</f>
        <v>139920.49999999994</v>
      </c>
      <c r="BP55" s="24">
        <f>($G55*Assumptions!BP53)*(1+'Cost Buildup'!$H55)^(BP$3-1)</f>
        <v>139920.49999999994</v>
      </c>
      <c r="BQ55" s="24">
        <f>($G55*Assumptions!BQ53)*(1+'Cost Buildup'!$H55)^(BQ$3-1)</f>
        <v>139920.49999999994</v>
      </c>
      <c r="BR55" s="24">
        <f>($G55*Assumptions!BR53)*(1+'Cost Buildup'!$H55)^(BR$3-1)</f>
        <v>139920.49999999994</v>
      </c>
      <c r="BS55" s="24">
        <f>($G55*Assumptions!BS53)*(1+'Cost Buildup'!$H55)^(BS$3-1)</f>
        <v>139920.49999999994</v>
      </c>
      <c r="BT55" s="24">
        <f>($G55*Assumptions!BT53)*(1+'Cost Buildup'!$H55)^(BT$3-1)</f>
        <v>139920.49999999994</v>
      </c>
      <c r="BU55" s="11"/>
      <c r="BV55" s="132">
        <f t="shared" si="72"/>
        <v>480000</v>
      </c>
      <c r="BW55" s="132">
        <f t="shared" si="72"/>
        <v>1104000</v>
      </c>
      <c r="BX55" s="132">
        <f t="shared" si="72"/>
        <v>1269599.9999999998</v>
      </c>
      <c r="BY55" s="132">
        <f t="shared" si="72"/>
        <v>1460039.9999999998</v>
      </c>
      <c r="BZ55" s="132">
        <f t="shared" si="72"/>
        <v>1679045.9999999998</v>
      </c>
    </row>
    <row r="56" spans="1:78" x14ac:dyDescent="0.3">
      <c r="A56" t="str">
        <f>Assumptions!A54</f>
        <v>Legal</v>
      </c>
      <c r="F56" s="25" t="str">
        <f>Assumptions!F54</f>
        <v>Monthly Salary/Headcount</v>
      </c>
      <c r="G56" s="27">
        <f>Assumptions!G54</f>
        <v>50000</v>
      </c>
      <c r="H56" s="27">
        <f>Assumptions!H54</f>
        <v>0.15</v>
      </c>
      <c r="I56" s="129" t="str">
        <f>Assumptions!I54</f>
        <v>Annual Increment</v>
      </c>
      <c r="M56" s="24">
        <f>($G56*Assumptions!M54)*(1+'Cost Buildup'!$H56)^(M$3-1)</f>
        <v>0</v>
      </c>
      <c r="N56" s="24">
        <f>($G56*Assumptions!N54)*(1+'Cost Buildup'!$H56)^(N$3-1)</f>
        <v>0</v>
      </c>
      <c r="O56" s="24">
        <f>($G56*Assumptions!O54)*(1+'Cost Buildup'!$H56)^(O$3-1)</f>
        <v>0</v>
      </c>
      <c r="P56" s="24">
        <f>($G56*Assumptions!P54)*(1+'Cost Buildup'!$H56)^(P$3-1)</f>
        <v>0</v>
      </c>
      <c r="Q56" s="24">
        <f>($G56*Assumptions!Q54)*(1+'Cost Buildup'!$H56)^(Q$3-1)</f>
        <v>0</v>
      </c>
      <c r="R56" s="24">
        <f>($G56*Assumptions!R54)*(1+'Cost Buildup'!$H56)^(R$3-1)</f>
        <v>0</v>
      </c>
      <c r="S56" s="24">
        <f>($G56*Assumptions!S54)*(1+'Cost Buildup'!$H56)^(S$3-1)</f>
        <v>0</v>
      </c>
      <c r="T56" s="24">
        <f>($G56*Assumptions!T54)*(1+'Cost Buildup'!$H56)^(T$3-1)</f>
        <v>0</v>
      </c>
      <c r="U56" s="24">
        <f>($G56*Assumptions!U54)*(1+'Cost Buildup'!$H56)^(U$3-1)</f>
        <v>0</v>
      </c>
      <c r="V56" s="24">
        <f>($G56*Assumptions!V54)*(1+'Cost Buildup'!$H56)^(V$3-1)</f>
        <v>0</v>
      </c>
      <c r="W56" s="24">
        <f>($G56*Assumptions!W54)*(1+'Cost Buildup'!$H56)^(W$3-1)</f>
        <v>0</v>
      </c>
      <c r="X56" s="24">
        <f>($G56*Assumptions!X54)*(1+'Cost Buildup'!$H56)^(X$3-1)</f>
        <v>0</v>
      </c>
      <c r="Y56" s="24">
        <f>($G56*Assumptions!Y54)*(1+'Cost Buildup'!$H56)^(Y$3-1)</f>
        <v>0</v>
      </c>
      <c r="Z56" s="24">
        <f>($G56*Assumptions!Z54)*(1+'Cost Buildup'!$H56)^(Z$3-1)</f>
        <v>0</v>
      </c>
      <c r="AA56" s="24">
        <f>($G56*Assumptions!AA54)*(1+'Cost Buildup'!$H56)^(AA$3-1)</f>
        <v>0</v>
      </c>
      <c r="AB56" s="24">
        <f>($G56*Assumptions!AB54)*(1+'Cost Buildup'!$H56)^(AB$3-1)</f>
        <v>0</v>
      </c>
      <c r="AC56" s="24">
        <f>($G56*Assumptions!AC54)*(1+'Cost Buildup'!$H56)^(AC$3-1)</f>
        <v>0</v>
      </c>
      <c r="AD56" s="24">
        <f>($G56*Assumptions!AD54)*(1+'Cost Buildup'!$H56)^(AD$3-1)</f>
        <v>0</v>
      </c>
      <c r="AE56" s="24">
        <f>($G56*Assumptions!AE54)*(1+'Cost Buildup'!$H56)^(AE$3-1)</f>
        <v>0</v>
      </c>
      <c r="AF56" s="24">
        <f>($G56*Assumptions!AF54)*(1+'Cost Buildup'!$H56)^(AF$3-1)</f>
        <v>0</v>
      </c>
      <c r="AG56" s="24">
        <f>($G56*Assumptions!AG54)*(1+'Cost Buildup'!$H56)^(AG$3-1)</f>
        <v>0</v>
      </c>
      <c r="AH56" s="24">
        <f>($G56*Assumptions!AH54)*(1+'Cost Buildup'!$H56)^(AH$3-1)</f>
        <v>0</v>
      </c>
      <c r="AI56" s="24">
        <f>($G56*Assumptions!AI54)*(1+'Cost Buildup'!$H56)^(AI$3-1)</f>
        <v>0</v>
      </c>
      <c r="AJ56" s="24">
        <f>($G56*Assumptions!AJ54)*(1+'Cost Buildup'!$H56)^(AJ$3-1)</f>
        <v>0</v>
      </c>
      <c r="AK56" s="24">
        <f>($G56*Assumptions!AK54)*(1+'Cost Buildup'!$H56)^(AK$3-1)</f>
        <v>66124.999999999985</v>
      </c>
      <c r="AL56" s="24">
        <f>($G56*Assumptions!AL54)*(1+'Cost Buildup'!$H56)^(AL$3-1)</f>
        <v>66124.999999999985</v>
      </c>
      <c r="AM56" s="24">
        <f>($G56*Assumptions!AM54)*(1+'Cost Buildup'!$H56)^(AM$3-1)</f>
        <v>66124.999999999985</v>
      </c>
      <c r="AN56" s="24">
        <f>($G56*Assumptions!AN54)*(1+'Cost Buildup'!$H56)^(AN$3-1)</f>
        <v>66124.999999999985</v>
      </c>
      <c r="AO56" s="24">
        <f>($G56*Assumptions!AO54)*(1+'Cost Buildup'!$H56)^(AO$3-1)</f>
        <v>66124.999999999985</v>
      </c>
      <c r="AP56" s="24">
        <f>($G56*Assumptions!AP54)*(1+'Cost Buildup'!$H56)^(AP$3-1)</f>
        <v>66124.999999999985</v>
      </c>
      <c r="AQ56" s="24">
        <f>($G56*Assumptions!AQ54)*(1+'Cost Buildup'!$H56)^(AQ$3-1)</f>
        <v>66124.999999999985</v>
      </c>
      <c r="AR56" s="24">
        <f>($G56*Assumptions!AR54)*(1+'Cost Buildup'!$H56)^(AR$3-1)</f>
        <v>66124.999999999985</v>
      </c>
      <c r="AS56" s="24">
        <f>($G56*Assumptions!AS54)*(1+'Cost Buildup'!$H56)^(AS$3-1)</f>
        <v>66124.999999999985</v>
      </c>
      <c r="AT56" s="24">
        <f>($G56*Assumptions!AT54)*(1+'Cost Buildup'!$H56)^(AT$3-1)</f>
        <v>66124.999999999985</v>
      </c>
      <c r="AU56" s="24">
        <f>($G56*Assumptions!AU54)*(1+'Cost Buildup'!$H56)^(AU$3-1)</f>
        <v>66124.999999999985</v>
      </c>
      <c r="AV56" s="24">
        <f>($G56*Assumptions!AV54)*(1+'Cost Buildup'!$H56)^(AV$3-1)</f>
        <v>66124.999999999985</v>
      </c>
      <c r="AW56" s="24">
        <f>($G56*Assumptions!AW54)*(1+'Cost Buildup'!$H56)^(AW$3-1)</f>
        <v>76043.749999999971</v>
      </c>
      <c r="AX56" s="24">
        <f>($G56*Assumptions!AX54)*(1+'Cost Buildup'!$H56)^(AX$3-1)</f>
        <v>76043.749999999971</v>
      </c>
      <c r="AY56" s="24">
        <f>($G56*Assumptions!AY54)*(1+'Cost Buildup'!$H56)^(AY$3-1)</f>
        <v>76043.749999999971</v>
      </c>
      <c r="AZ56" s="24">
        <f>($G56*Assumptions!AZ54)*(1+'Cost Buildup'!$H56)^(AZ$3-1)</f>
        <v>76043.749999999971</v>
      </c>
      <c r="BA56" s="24">
        <f>($G56*Assumptions!BA54)*(1+'Cost Buildup'!$H56)^(BA$3-1)</f>
        <v>76043.749999999971</v>
      </c>
      <c r="BB56" s="24">
        <f>($G56*Assumptions!BB54)*(1+'Cost Buildup'!$H56)^(BB$3-1)</f>
        <v>76043.749999999971</v>
      </c>
      <c r="BC56" s="24">
        <f>($G56*Assumptions!BC54)*(1+'Cost Buildup'!$H56)^(BC$3-1)</f>
        <v>76043.749999999971</v>
      </c>
      <c r="BD56" s="24">
        <f>($G56*Assumptions!BD54)*(1+'Cost Buildup'!$H56)^(BD$3-1)</f>
        <v>76043.749999999971</v>
      </c>
      <c r="BE56" s="24">
        <f>($G56*Assumptions!BE54)*(1+'Cost Buildup'!$H56)^(BE$3-1)</f>
        <v>76043.749999999971</v>
      </c>
      <c r="BF56" s="24">
        <f>($G56*Assumptions!BF54)*(1+'Cost Buildup'!$H56)^(BF$3-1)</f>
        <v>76043.749999999971</v>
      </c>
      <c r="BG56" s="24">
        <f>($G56*Assumptions!BG54)*(1+'Cost Buildup'!$H56)^(BG$3-1)</f>
        <v>76043.749999999971</v>
      </c>
      <c r="BH56" s="24">
        <f>($G56*Assumptions!BH54)*(1+'Cost Buildup'!$H56)^(BH$3-1)</f>
        <v>76043.749999999971</v>
      </c>
      <c r="BI56" s="24">
        <f>($G56*Assumptions!BI54)*(1+'Cost Buildup'!$H56)^(BI$3-1)</f>
        <v>87450.312499999971</v>
      </c>
      <c r="BJ56" s="24">
        <f>($G56*Assumptions!BJ54)*(1+'Cost Buildup'!$H56)^(BJ$3-1)</f>
        <v>87450.312499999971</v>
      </c>
      <c r="BK56" s="24">
        <f>($G56*Assumptions!BK54)*(1+'Cost Buildup'!$H56)^(BK$3-1)</f>
        <v>87450.312499999971</v>
      </c>
      <c r="BL56" s="24">
        <f>($G56*Assumptions!BL54)*(1+'Cost Buildup'!$H56)^(BL$3-1)</f>
        <v>87450.312499999971</v>
      </c>
      <c r="BM56" s="24">
        <f>($G56*Assumptions!BM54)*(1+'Cost Buildup'!$H56)^(BM$3-1)</f>
        <v>87450.312499999971</v>
      </c>
      <c r="BN56" s="24">
        <f>($G56*Assumptions!BN54)*(1+'Cost Buildup'!$H56)^(BN$3-1)</f>
        <v>87450.312499999971</v>
      </c>
      <c r="BO56" s="24">
        <f>($G56*Assumptions!BO54)*(1+'Cost Buildup'!$H56)^(BO$3-1)</f>
        <v>87450.312499999971</v>
      </c>
      <c r="BP56" s="24">
        <f>($G56*Assumptions!BP54)*(1+'Cost Buildup'!$H56)^(BP$3-1)</f>
        <v>87450.312499999971</v>
      </c>
      <c r="BQ56" s="24">
        <f>($G56*Assumptions!BQ54)*(1+'Cost Buildup'!$H56)^(BQ$3-1)</f>
        <v>87450.312499999971</v>
      </c>
      <c r="BR56" s="24">
        <f>($G56*Assumptions!BR54)*(1+'Cost Buildup'!$H56)^(BR$3-1)</f>
        <v>87450.312499999971</v>
      </c>
      <c r="BS56" s="24">
        <f>($G56*Assumptions!BS54)*(1+'Cost Buildup'!$H56)^(BS$3-1)</f>
        <v>87450.312499999971</v>
      </c>
      <c r="BT56" s="24">
        <f>($G56*Assumptions!BT54)*(1+'Cost Buildup'!$H56)^(BT$3-1)</f>
        <v>87450.312499999971</v>
      </c>
      <c r="BU56" s="11"/>
      <c r="BV56" s="132">
        <f t="shared" si="72"/>
        <v>0</v>
      </c>
      <c r="BW56" s="132">
        <f t="shared" si="72"/>
        <v>0</v>
      </c>
      <c r="BX56" s="132">
        <f t="shared" si="72"/>
        <v>793499.99999999988</v>
      </c>
      <c r="BY56" s="132">
        <f t="shared" si="72"/>
        <v>912524.99999999988</v>
      </c>
      <c r="BZ56" s="132">
        <f t="shared" si="72"/>
        <v>1049403.7499999998</v>
      </c>
    </row>
    <row r="57" spans="1:78" x14ac:dyDescent="0.3">
      <c r="A57" t="str">
        <f>Assumptions!A55</f>
        <v>HR</v>
      </c>
      <c r="F57" s="25" t="str">
        <f>Assumptions!F55</f>
        <v>Monthly Salary/Headcount</v>
      </c>
      <c r="G57" s="27">
        <f>Assumptions!G55</f>
        <v>60000</v>
      </c>
      <c r="H57" s="27">
        <f>Assumptions!H55</f>
        <v>0.15</v>
      </c>
      <c r="I57" s="129" t="str">
        <f>Assumptions!I55</f>
        <v>Annual Increment</v>
      </c>
      <c r="M57" s="252">
        <f>($G57*Assumptions!M55)*(1+'Cost Buildup'!$H57)^(M$3-1)</f>
        <v>0</v>
      </c>
      <c r="N57" s="24">
        <f>($G57*Assumptions!N55)*(1+'Cost Buildup'!$H57)^(N$3-1)</f>
        <v>0</v>
      </c>
      <c r="O57" s="24">
        <f>($G57*Assumptions!O55)*(1+'Cost Buildup'!$H57)^(O$3-1)</f>
        <v>0</v>
      </c>
      <c r="P57" s="24">
        <f>($G57*Assumptions!P55)*(1+'Cost Buildup'!$H57)^(P$3-1)</f>
        <v>0</v>
      </c>
      <c r="Q57" s="24">
        <f>($G57*Assumptions!Q55)*(1+'Cost Buildup'!$H57)^(Q$3-1)</f>
        <v>0</v>
      </c>
      <c r="R57" s="24">
        <f>($G57*Assumptions!R55)*(1+'Cost Buildup'!$H57)^(R$3-1)</f>
        <v>0</v>
      </c>
      <c r="S57" s="24">
        <f>($G57*Assumptions!S55)*(1+'Cost Buildup'!$H57)^(S$3-1)</f>
        <v>0</v>
      </c>
      <c r="T57" s="24">
        <f>($G57*Assumptions!T55)*(1+'Cost Buildup'!$H57)^(T$3-1)</f>
        <v>0</v>
      </c>
      <c r="U57" s="24">
        <f>($G57*Assumptions!U55)*(1+'Cost Buildup'!$H57)^(U$3-1)</f>
        <v>0</v>
      </c>
      <c r="V57" s="24">
        <f>($G57*Assumptions!V55)*(1+'Cost Buildup'!$H57)^(V$3-1)</f>
        <v>0</v>
      </c>
      <c r="W57" s="24">
        <f>($G57*Assumptions!W55)*(1+'Cost Buildup'!$H57)^(W$3-1)</f>
        <v>0</v>
      </c>
      <c r="X57" s="24">
        <f>($G57*Assumptions!X55)*(1+'Cost Buildup'!$H57)^(X$3-1)</f>
        <v>0</v>
      </c>
      <c r="Y57" s="24">
        <f>($G57*Assumptions!Y55)*(1+'Cost Buildup'!$H57)^(Y$3-1)</f>
        <v>69000</v>
      </c>
      <c r="Z57" s="24">
        <f>($G57*Assumptions!Z55)*(1+'Cost Buildup'!$H57)^(Z$3-1)</f>
        <v>69000</v>
      </c>
      <c r="AA57" s="24">
        <f>($G57*Assumptions!AA55)*(1+'Cost Buildup'!$H57)^(AA$3-1)</f>
        <v>69000</v>
      </c>
      <c r="AB57" s="24">
        <f>($G57*Assumptions!AB55)*(1+'Cost Buildup'!$H57)^(AB$3-1)</f>
        <v>69000</v>
      </c>
      <c r="AC57" s="24">
        <f>($G57*Assumptions!AC55)*(1+'Cost Buildup'!$H57)^(AC$3-1)</f>
        <v>69000</v>
      </c>
      <c r="AD57" s="24">
        <f>($G57*Assumptions!AD55)*(1+'Cost Buildup'!$H57)^(AD$3-1)</f>
        <v>69000</v>
      </c>
      <c r="AE57" s="24">
        <f>($G57*Assumptions!AE55)*(1+'Cost Buildup'!$H57)^(AE$3-1)</f>
        <v>69000</v>
      </c>
      <c r="AF57" s="24">
        <f>($G57*Assumptions!AF55)*(1+'Cost Buildup'!$H57)^(AF$3-1)</f>
        <v>69000</v>
      </c>
      <c r="AG57" s="24">
        <f>($G57*Assumptions!AG55)*(1+'Cost Buildup'!$H57)^(AG$3-1)</f>
        <v>69000</v>
      </c>
      <c r="AH57" s="24">
        <f>($G57*Assumptions!AH55)*(1+'Cost Buildup'!$H57)^(AH$3-1)</f>
        <v>69000</v>
      </c>
      <c r="AI57" s="24">
        <f>($G57*Assumptions!AI55)*(1+'Cost Buildup'!$H57)^(AI$3-1)</f>
        <v>69000</v>
      </c>
      <c r="AJ57" s="24">
        <f>($G57*Assumptions!AJ55)*(1+'Cost Buildup'!$H57)^(AJ$3-1)</f>
        <v>69000</v>
      </c>
      <c r="AK57" s="24">
        <f>($G57*Assumptions!AK55)*(1+'Cost Buildup'!$H57)^(AK$3-1)</f>
        <v>158699.99999999997</v>
      </c>
      <c r="AL57" s="24">
        <f>($G57*Assumptions!AL55)*(1+'Cost Buildup'!$H57)^(AL$3-1)</f>
        <v>158699.99999999997</v>
      </c>
      <c r="AM57" s="24">
        <f>($G57*Assumptions!AM55)*(1+'Cost Buildup'!$H57)^(AM$3-1)</f>
        <v>158699.99999999997</v>
      </c>
      <c r="AN57" s="24">
        <f>($G57*Assumptions!AN55)*(1+'Cost Buildup'!$H57)^(AN$3-1)</f>
        <v>158699.99999999997</v>
      </c>
      <c r="AO57" s="24">
        <f>($G57*Assumptions!AO55)*(1+'Cost Buildup'!$H57)^(AO$3-1)</f>
        <v>158699.99999999997</v>
      </c>
      <c r="AP57" s="24">
        <f>($G57*Assumptions!AP55)*(1+'Cost Buildup'!$H57)^(AP$3-1)</f>
        <v>158699.99999999997</v>
      </c>
      <c r="AQ57" s="24">
        <f>($G57*Assumptions!AQ55)*(1+'Cost Buildup'!$H57)^(AQ$3-1)</f>
        <v>158699.99999999997</v>
      </c>
      <c r="AR57" s="24">
        <f>($G57*Assumptions!AR55)*(1+'Cost Buildup'!$H57)^(AR$3-1)</f>
        <v>158699.99999999997</v>
      </c>
      <c r="AS57" s="24">
        <f>($G57*Assumptions!AS55)*(1+'Cost Buildup'!$H57)^(AS$3-1)</f>
        <v>158699.99999999997</v>
      </c>
      <c r="AT57" s="24">
        <f>($G57*Assumptions!AT55)*(1+'Cost Buildup'!$H57)^(AT$3-1)</f>
        <v>158699.99999999997</v>
      </c>
      <c r="AU57" s="24">
        <f>($G57*Assumptions!AU55)*(1+'Cost Buildup'!$H57)^(AU$3-1)</f>
        <v>158699.99999999997</v>
      </c>
      <c r="AV57" s="24">
        <f>($G57*Assumptions!AV55)*(1+'Cost Buildup'!$H57)^(AV$3-1)</f>
        <v>158699.99999999997</v>
      </c>
      <c r="AW57" s="24">
        <f>($G57*Assumptions!AW55)*(1+'Cost Buildup'!$H57)^(AW$3-1)</f>
        <v>182504.99999999994</v>
      </c>
      <c r="AX57" s="24">
        <f>($G57*Assumptions!AX55)*(1+'Cost Buildup'!$H57)^(AX$3-1)</f>
        <v>182504.99999999994</v>
      </c>
      <c r="AY57" s="24">
        <f>($G57*Assumptions!AY55)*(1+'Cost Buildup'!$H57)^(AY$3-1)</f>
        <v>182504.99999999994</v>
      </c>
      <c r="AZ57" s="24">
        <f>($G57*Assumptions!AZ55)*(1+'Cost Buildup'!$H57)^(AZ$3-1)</f>
        <v>182504.99999999994</v>
      </c>
      <c r="BA57" s="24">
        <f>($G57*Assumptions!BA55)*(1+'Cost Buildup'!$H57)^(BA$3-1)</f>
        <v>182504.99999999994</v>
      </c>
      <c r="BB57" s="24">
        <f>($G57*Assumptions!BB55)*(1+'Cost Buildup'!$H57)^(BB$3-1)</f>
        <v>182504.99999999994</v>
      </c>
      <c r="BC57" s="24">
        <f>($G57*Assumptions!BC55)*(1+'Cost Buildup'!$H57)^(BC$3-1)</f>
        <v>182504.99999999994</v>
      </c>
      <c r="BD57" s="24">
        <f>($G57*Assumptions!BD55)*(1+'Cost Buildup'!$H57)^(BD$3-1)</f>
        <v>182504.99999999994</v>
      </c>
      <c r="BE57" s="24">
        <f>($G57*Assumptions!BE55)*(1+'Cost Buildup'!$H57)^(BE$3-1)</f>
        <v>182504.99999999994</v>
      </c>
      <c r="BF57" s="24">
        <f>($G57*Assumptions!BF55)*(1+'Cost Buildup'!$H57)^(BF$3-1)</f>
        <v>182504.99999999994</v>
      </c>
      <c r="BG57" s="24">
        <f>($G57*Assumptions!BG55)*(1+'Cost Buildup'!$H57)^(BG$3-1)</f>
        <v>182504.99999999994</v>
      </c>
      <c r="BH57" s="24">
        <f>($G57*Assumptions!BH55)*(1+'Cost Buildup'!$H57)^(BH$3-1)</f>
        <v>182504.99999999994</v>
      </c>
      <c r="BI57" s="24">
        <f>($G57*Assumptions!BI55)*(1+'Cost Buildup'!$H57)^(BI$3-1)</f>
        <v>209880.74999999994</v>
      </c>
      <c r="BJ57" s="24">
        <f>($G57*Assumptions!BJ55)*(1+'Cost Buildup'!$H57)^(BJ$3-1)</f>
        <v>209880.74999999994</v>
      </c>
      <c r="BK57" s="24">
        <f>($G57*Assumptions!BK55)*(1+'Cost Buildup'!$H57)^(BK$3-1)</f>
        <v>209880.74999999994</v>
      </c>
      <c r="BL57" s="24">
        <f>($G57*Assumptions!BL55)*(1+'Cost Buildup'!$H57)^(BL$3-1)</f>
        <v>209880.74999999994</v>
      </c>
      <c r="BM57" s="24">
        <f>($G57*Assumptions!BM55)*(1+'Cost Buildup'!$H57)^(BM$3-1)</f>
        <v>209880.74999999994</v>
      </c>
      <c r="BN57" s="24">
        <f>($G57*Assumptions!BN55)*(1+'Cost Buildup'!$H57)^(BN$3-1)</f>
        <v>209880.74999999994</v>
      </c>
      <c r="BO57" s="24">
        <f>($G57*Assumptions!BO55)*(1+'Cost Buildup'!$H57)^(BO$3-1)</f>
        <v>209880.74999999994</v>
      </c>
      <c r="BP57" s="24">
        <f>($G57*Assumptions!BP55)*(1+'Cost Buildup'!$H57)^(BP$3-1)</f>
        <v>209880.74999999994</v>
      </c>
      <c r="BQ57" s="24">
        <f>($G57*Assumptions!BQ55)*(1+'Cost Buildup'!$H57)^(BQ$3-1)</f>
        <v>209880.74999999994</v>
      </c>
      <c r="BR57" s="24">
        <f>($G57*Assumptions!BR55)*(1+'Cost Buildup'!$H57)^(BR$3-1)</f>
        <v>209880.74999999994</v>
      </c>
      <c r="BS57" s="24">
        <f>($G57*Assumptions!BS55)*(1+'Cost Buildup'!$H57)^(BS$3-1)</f>
        <v>209880.74999999994</v>
      </c>
      <c r="BT57" s="24">
        <f>($G57*Assumptions!BT55)*(1+'Cost Buildup'!$H57)^(BT$3-1)</f>
        <v>209880.74999999994</v>
      </c>
      <c r="BU57" s="11"/>
      <c r="BV57" s="132">
        <f t="shared" ref="BV57:BZ64" si="80">SUMIF($M$3:$BT$3,BV$3,$M57:$BT57)</f>
        <v>0</v>
      </c>
      <c r="BW57" s="132">
        <f t="shared" si="80"/>
        <v>828000</v>
      </c>
      <c r="BX57" s="132">
        <f t="shared" si="80"/>
        <v>1904399.9999999998</v>
      </c>
      <c r="BY57" s="132">
        <f t="shared" si="80"/>
        <v>2190059.9999999995</v>
      </c>
      <c r="BZ57" s="132">
        <f t="shared" si="80"/>
        <v>2518568.9999999995</v>
      </c>
    </row>
    <row r="58" spans="1:78" x14ac:dyDescent="0.3">
      <c r="A58" s="22" t="s">
        <v>172</v>
      </c>
      <c r="F58" s="25"/>
      <c r="G58" s="31"/>
      <c r="H58" s="31"/>
      <c r="I58" s="129"/>
      <c r="M58" s="131">
        <f>SUM(M55:M57)</f>
        <v>40000</v>
      </c>
      <c r="N58" s="131">
        <f t="shared" ref="N58:BT58" si="81">SUM(N55:N57)</f>
        <v>40000</v>
      </c>
      <c r="O58" s="131">
        <f t="shared" si="81"/>
        <v>40000</v>
      </c>
      <c r="P58" s="131">
        <f t="shared" si="81"/>
        <v>40000</v>
      </c>
      <c r="Q58" s="131">
        <f t="shared" si="81"/>
        <v>40000</v>
      </c>
      <c r="R58" s="131">
        <f t="shared" si="81"/>
        <v>40000</v>
      </c>
      <c r="S58" s="131">
        <f t="shared" si="81"/>
        <v>40000</v>
      </c>
      <c r="T58" s="131">
        <f t="shared" si="81"/>
        <v>40000</v>
      </c>
      <c r="U58" s="131">
        <f t="shared" si="81"/>
        <v>40000</v>
      </c>
      <c r="V58" s="131">
        <f t="shared" si="81"/>
        <v>40000</v>
      </c>
      <c r="W58" s="131">
        <f t="shared" si="81"/>
        <v>40000</v>
      </c>
      <c r="X58" s="131">
        <f t="shared" si="81"/>
        <v>40000</v>
      </c>
      <c r="Y58" s="131">
        <f t="shared" si="81"/>
        <v>161000</v>
      </c>
      <c r="Z58" s="131">
        <f t="shared" si="81"/>
        <v>161000</v>
      </c>
      <c r="AA58" s="131">
        <f t="shared" si="81"/>
        <v>161000</v>
      </c>
      <c r="AB58" s="131">
        <f t="shared" si="81"/>
        <v>161000</v>
      </c>
      <c r="AC58" s="131">
        <f t="shared" si="81"/>
        <v>161000</v>
      </c>
      <c r="AD58" s="131">
        <f t="shared" si="81"/>
        <v>161000</v>
      </c>
      <c r="AE58" s="131">
        <f t="shared" si="81"/>
        <v>161000</v>
      </c>
      <c r="AF58" s="131">
        <f t="shared" si="81"/>
        <v>161000</v>
      </c>
      <c r="AG58" s="131">
        <f t="shared" si="81"/>
        <v>161000</v>
      </c>
      <c r="AH58" s="131">
        <f t="shared" si="81"/>
        <v>161000</v>
      </c>
      <c r="AI58" s="131">
        <f t="shared" si="81"/>
        <v>161000</v>
      </c>
      <c r="AJ58" s="131">
        <f t="shared" si="81"/>
        <v>161000</v>
      </c>
      <c r="AK58" s="131">
        <f t="shared" si="81"/>
        <v>330624.99999999994</v>
      </c>
      <c r="AL58" s="131">
        <f t="shared" si="81"/>
        <v>330624.99999999994</v>
      </c>
      <c r="AM58" s="131">
        <f t="shared" si="81"/>
        <v>330624.99999999994</v>
      </c>
      <c r="AN58" s="131">
        <f t="shared" si="81"/>
        <v>330624.99999999994</v>
      </c>
      <c r="AO58" s="131">
        <f t="shared" si="81"/>
        <v>330624.99999999994</v>
      </c>
      <c r="AP58" s="131">
        <f t="shared" si="81"/>
        <v>330624.99999999994</v>
      </c>
      <c r="AQ58" s="131">
        <f t="shared" si="81"/>
        <v>330624.99999999994</v>
      </c>
      <c r="AR58" s="131">
        <f t="shared" si="81"/>
        <v>330624.99999999994</v>
      </c>
      <c r="AS58" s="131">
        <f t="shared" si="81"/>
        <v>330624.99999999994</v>
      </c>
      <c r="AT58" s="131">
        <f t="shared" si="81"/>
        <v>330624.99999999994</v>
      </c>
      <c r="AU58" s="131">
        <f t="shared" si="81"/>
        <v>330624.99999999994</v>
      </c>
      <c r="AV58" s="131">
        <f t="shared" si="81"/>
        <v>330624.99999999994</v>
      </c>
      <c r="AW58" s="131">
        <f t="shared" si="81"/>
        <v>380218.74999999988</v>
      </c>
      <c r="AX58" s="131">
        <f t="shared" si="81"/>
        <v>380218.74999999988</v>
      </c>
      <c r="AY58" s="131">
        <f t="shared" si="81"/>
        <v>380218.74999999988</v>
      </c>
      <c r="AZ58" s="131">
        <f t="shared" si="81"/>
        <v>380218.74999999988</v>
      </c>
      <c r="BA58" s="131">
        <f t="shared" si="81"/>
        <v>380218.74999999988</v>
      </c>
      <c r="BB58" s="131">
        <f t="shared" si="81"/>
        <v>380218.74999999988</v>
      </c>
      <c r="BC58" s="131">
        <f t="shared" si="81"/>
        <v>380218.74999999988</v>
      </c>
      <c r="BD58" s="131">
        <f t="shared" si="81"/>
        <v>380218.74999999988</v>
      </c>
      <c r="BE58" s="131">
        <f t="shared" si="81"/>
        <v>380218.74999999988</v>
      </c>
      <c r="BF58" s="131">
        <f t="shared" si="81"/>
        <v>380218.74999999988</v>
      </c>
      <c r="BG58" s="131">
        <f t="shared" si="81"/>
        <v>380218.74999999988</v>
      </c>
      <c r="BH58" s="131">
        <f t="shared" si="81"/>
        <v>380218.74999999988</v>
      </c>
      <c r="BI58" s="131">
        <f t="shared" si="81"/>
        <v>437251.56249999988</v>
      </c>
      <c r="BJ58" s="131">
        <f t="shared" si="81"/>
        <v>437251.56249999988</v>
      </c>
      <c r="BK58" s="131">
        <f t="shared" si="81"/>
        <v>437251.56249999988</v>
      </c>
      <c r="BL58" s="131">
        <f t="shared" si="81"/>
        <v>437251.56249999988</v>
      </c>
      <c r="BM58" s="131">
        <f t="shared" si="81"/>
        <v>437251.56249999988</v>
      </c>
      <c r="BN58" s="131">
        <f t="shared" si="81"/>
        <v>437251.56249999988</v>
      </c>
      <c r="BO58" s="131">
        <f t="shared" si="81"/>
        <v>437251.56249999988</v>
      </c>
      <c r="BP58" s="131">
        <f t="shared" si="81"/>
        <v>437251.56249999988</v>
      </c>
      <c r="BQ58" s="131">
        <f t="shared" si="81"/>
        <v>437251.56249999988</v>
      </c>
      <c r="BR58" s="131">
        <f t="shared" si="81"/>
        <v>437251.56249999988</v>
      </c>
      <c r="BS58" s="131">
        <f t="shared" si="81"/>
        <v>437251.56249999988</v>
      </c>
      <c r="BT58" s="131">
        <f t="shared" si="81"/>
        <v>437251.56249999988</v>
      </c>
      <c r="BU58" s="11"/>
      <c r="BV58" s="131">
        <f t="shared" si="80"/>
        <v>480000</v>
      </c>
      <c r="BW58" s="131">
        <f t="shared" si="80"/>
        <v>1932000</v>
      </c>
      <c r="BX58" s="131">
        <f t="shared" si="80"/>
        <v>3967499.9999999995</v>
      </c>
      <c r="BY58" s="131">
        <f t="shared" si="80"/>
        <v>4562624.9999999991</v>
      </c>
      <c r="BZ58" s="131">
        <f t="shared" si="80"/>
        <v>5247018.7499999991</v>
      </c>
    </row>
    <row r="59" spans="1:78" x14ac:dyDescent="0.3">
      <c r="A59" s="22" t="s">
        <v>173</v>
      </c>
      <c r="F59" s="25"/>
      <c r="G59" s="31"/>
      <c r="H59" s="31"/>
      <c r="I59" s="129"/>
      <c r="M59" s="133">
        <f>M52+M53+M58</f>
        <v>130000</v>
      </c>
      <c r="N59" s="133">
        <f t="shared" ref="N59:BT59" si="82">N52+N53+N58</f>
        <v>130515.93732176271</v>
      </c>
      <c r="O59" s="133">
        <f t="shared" si="82"/>
        <v>131031.87464352543</v>
      </c>
      <c r="P59" s="133">
        <f t="shared" si="82"/>
        <v>140702.59316181694</v>
      </c>
      <c r="Q59" s="133">
        <f t="shared" si="82"/>
        <v>150476.49914446104</v>
      </c>
      <c r="R59" s="133">
        <f t="shared" si="82"/>
        <v>151095.62393057629</v>
      </c>
      <c r="S59" s="133">
        <f t="shared" si="82"/>
        <v>188952.99828892207</v>
      </c>
      <c r="T59" s="133">
        <f t="shared" si="82"/>
        <v>189778.49800374242</v>
      </c>
      <c r="U59" s="133">
        <f t="shared" si="82"/>
        <v>200016.74757597293</v>
      </c>
      <c r="V59" s="133">
        <f t="shared" si="82"/>
        <v>229286.87179172889</v>
      </c>
      <c r="W59" s="133">
        <f t="shared" si="82"/>
        <v>239834.68375701705</v>
      </c>
      <c r="X59" s="133">
        <f t="shared" si="82"/>
        <v>240918.15213271874</v>
      </c>
      <c r="Y59" s="133">
        <f t="shared" si="82"/>
        <v>430335.49401122727</v>
      </c>
      <c r="Z59" s="133">
        <f t="shared" si="82"/>
        <v>431780.11851216288</v>
      </c>
      <c r="AA59" s="133">
        <f t="shared" si="82"/>
        <v>442947.05526356632</v>
      </c>
      <c r="AB59" s="133">
        <f t="shared" si="82"/>
        <v>454217.17947932222</v>
      </c>
      <c r="AC59" s="133">
        <f t="shared" si="82"/>
        <v>465590.49115943076</v>
      </c>
      <c r="AD59" s="133">
        <f t="shared" si="82"/>
        <v>467189.89685689518</v>
      </c>
      <c r="AE59" s="133">
        <f t="shared" si="82"/>
        <v>627648.29742112581</v>
      </c>
      <c r="AF59" s="133">
        <f t="shared" si="82"/>
        <v>640053.48374475981</v>
      </c>
      <c r="AG59" s="133">
        <f t="shared" si="82"/>
        <v>652561.85753274616</v>
      </c>
      <c r="AH59" s="133">
        <f t="shared" si="82"/>
        <v>685340.3555364887</v>
      </c>
      <c r="AI59" s="133">
        <f t="shared" si="82"/>
        <v>698158.29171753279</v>
      </c>
      <c r="AJ59" s="133">
        <f t="shared" si="82"/>
        <v>721266.07120298373</v>
      </c>
      <c r="AK59" s="133">
        <f t="shared" si="82"/>
        <v>1006349.4717672144</v>
      </c>
      <c r="AL59" s="133">
        <f t="shared" si="82"/>
        <v>1020044.5013952551</v>
      </c>
      <c r="AM59" s="133">
        <f t="shared" si="82"/>
        <v>1033842.7184876483</v>
      </c>
      <c r="AN59" s="133">
        <f t="shared" si="82"/>
        <v>1068530.1845819128</v>
      </c>
      <c r="AO59" s="133">
        <f t="shared" si="82"/>
        <v>1082637.9640673636</v>
      </c>
      <c r="AP59" s="133">
        <f t="shared" si="82"/>
        <v>1096848.9310171672</v>
      </c>
      <c r="AQ59" s="133">
        <f t="shared" si="82"/>
        <v>1142806.5213271875</v>
      </c>
      <c r="AR59" s="133">
        <f t="shared" si="82"/>
        <v>1157378.644402225</v>
      </c>
      <c r="AS59" s="133">
        <f t="shared" si="82"/>
        <v>1172053.9549416148</v>
      </c>
      <c r="AT59" s="133">
        <f t="shared" si="82"/>
        <v>1197535.0461071741</v>
      </c>
      <c r="AU59" s="133">
        <f t="shared" si="82"/>
        <v>1212468.3253074454</v>
      </c>
      <c r="AV59" s="133">
        <f t="shared" si="82"/>
        <v>1238310.5725982387</v>
      </c>
      <c r="AW59" s="133">
        <f t="shared" si="82"/>
        <v>1346525.0678927745</v>
      </c>
      <c r="AX59" s="133">
        <f t="shared" si="82"/>
        <v>1362025.8781469846</v>
      </c>
      <c r="AY59" s="133">
        <f t="shared" si="82"/>
        <v>1388590.4376882459</v>
      </c>
      <c r="AZ59" s="133">
        <f t="shared" si="82"/>
        <v>1415361.3721582121</v>
      </c>
      <c r="BA59" s="133">
        <f t="shared" si="82"/>
        <v>1442338.6815568833</v>
      </c>
      <c r="BB59" s="133">
        <f t="shared" si="82"/>
        <v>1458407.0228650323</v>
      </c>
      <c r="BC59" s="133">
        <f t="shared" si="82"/>
        <v>1496912.4251403408</v>
      </c>
      <c r="BD59" s="133">
        <f t="shared" si="82"/>
        <v>1513290.3288415479</v>
      </c>
      <c r="BE59" s="133">
        <f t="shared" si="82"/>
        <v>1541041.5442228634</v>
      </c>
      <c r="BF59" s="133">
        <f t="shared" si="82"/>
        <v>1580320.8524808157</v>
      </c>
      <c r="BG59" s="133">
        <f t="shared" si="82"/>
        <v>1597163.0997716091</v>
      </c>
      <c r="BH59" s="133">
        <f t="shared" si="82"/>
        <v>1625533.4399390398</v>
      </c>
      <c r="BI59" s="133">
        <f t="shared" si="82"/>
        <v>1757048.9641130199</v>
      </c>
      <c r="BJ59" s="133">
        <f t="shared" si="82"/>
        <v>1786038.4290665654</v>
      </c>
      <c r="BK59" s="133">
        <f t="shared" si="82"/>
        <v>1815234.2689488167</v>
      </c>
      <c r="BL59" s="133">
        <f t="shared" si="82"/>
        <v>1856267.7641007625</v>
      </c>
      <c r="BM59" s="133">
        <f t="shared" si="82"/>
        <v>1885927.9475725996</v>
      </c>
      <c r="BN59" s="133">
        <f t="shared" si="82"/>
        <v>1904060.0381677998</v>
      </c>
      <c r="BO59" s="133">
        <f t="shared" si="82"/>
        <v>1945867.43930239</v>
      </c>
      <c r="BP59" s="133">
        <f t="shared" si="82"/>
        <v>1976146.7475603428</v>
      </c>
      <c r="BQ59" s="133">
        <f t="shared" si="82"/>
        <v>2006632.4307470005</v>
      </c>
      <c r="BR59" s="133">
        <f t="shared" si="82"/>
        <v>2049265.3315964108</v>
      </c>
      <c r="BS59" s="133">
        <f t="shared" si="82"/>
        <v>2080215.3583726548</v>
      </c>
      <c r="BT59" s="133">
        <f t="shared" si="82"/>
        <v>2111371.7600776041</v>
      </c>
      <c r="BU59" s="11"/>
      <c r="BV59" s="133">
        <f t="shared" si="80"/>
        <v>2122610.4797522444</v>
      </c>
      <c r="BW59" s="133">
        <f t="shared" si="80"/>
        <v>6717088.5924382424</v>
      </c>
      <c r="BX59" s="133">
        <f t="shared" si="80"/>
        <v>13428806.836000448</v>
      </c>
      <c r="BY59" s="133">
        <f t="shared" si="80"/>
        <v>17767510.15070435</v>
      </c>
      <c r="BZ59" s="133">
        <f t="shared" si="80"/>
        <v>23174076.479625966</v>
      </c>
    </row>
    <row r="60" spans="1:78" x14ac:dyDescent="0.3">
      <c r="A60" s="52" t="str">
        <f>Assumptions!A56</f>
        <v>Product Development Expense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11"/>
      <c r="BV60" s="51"/>
      <c r="BW60" s="51"/>
      <c r="BX60" s="51"/>
      <c r="BY60" s="51"/>
      <c r="BZ60" s="51"/>
    </row>
    <row r="61" spans="1:78" x14ac:dyDescent="0.3">
      <c r="A61" t="str">
        <f>Assumptions!A57</f>
        <v xml:space="preserve">Infrastructure </v>
      </c>
      <c r="M61" s="24">
        <f>Assumptions!M57</f>
        <v>10000</v>
      </c>
      <c r="N61" s="24">
        <f>Assumptions!N57</f>
        <v>11525.423728813559</v>
      </c>
      <c r="O61" s="24">
        <f>Assumptions!O57</f>
        <v>13050.847457627118</v>
      </c>
      <c r="P61" s="24">
        <f>Assumptions!P57</f>
        <v>14576.271186440677</v>
      </c>
      <c r="Q61" s="24">
        <f>Assumptions!Q57</f>
        <v>16101.694915254237</v>
      </c>
      <c r="R61" s="24">
        <f>Assumptions!R57</f>
        <v>17627.118644067796</v>
      </c>
      <c r="S61" s="24">
        <f>Assumptions!S57</f>
        <v>19152.542372881355</v>
      </c>
      <c r="T61" s="24">
        <f>Assumptions!T57</f>
        <v>20677.966101694914</v>
      </c>
      <c r="U61" s="24">
        <f>Assumptions!U57</f>
        <v>22203.389830508473</v>
      </c>
      <c r="V61" s="24">
        <f>Assumptions!V57</f>
        <v>23728.813559322032</v>
      </c>
      <c r="W61" s="24">
        <f>Assumptions!W57</f>
        <v>25254.237288135591</v>
      </c>
      <c r="X61" s="24">
        <f>Assumptions!X57</f>
        <v>26779.661016949151</v>
      </c>
      <c r="Y61" s="24">
        <f>Assumptions!Y57</f>
        <v>28305.08474576271</v>
      </c>
      <c r="Z61" s="24">
        <f>Assumptions!Z57</f>
        <v>29830.508474576269</v>
      </c>
      <c r="AA61" s="24">
        <f>Assumptions!AA57</f>
        <v>31355.932203389828</v>
      </c>
      <c r="AB61" s="24">
        <f>Assumptions!AB57</f>
        <v>32881.355932203391</v>
      </c>
      <c r="AC61" s="24">
        <f>Assumptions!AC57</f>
        <v>34406.779661016953</v>
      </c>
      <c r="AD61" s="24">
        <f>Assumptions!AD57</f>
        <v>35932.203389830516</v>
      </c>
      <c r="AE61" s="24">
        <f>Assumptions!AE57</f>
        <v>37457.627118644079</v>
      </c>
      <c r="AF61" s="24">
        <f>Assumptions!AF57</f>
        <v>38983.050847457642</v>
      </c>
      <c r="AG61" s="24">
        <f>Assumptions!AG57</f>
        <v>40508.474576271205</v>
      </c>
      <c r="AH61" s="24">
        <f>Assumptions!AH57</f>
        <v>42033.898305084767</v>
      </c>
      <c r="AI61" s="24">
        <f>Assumptions!AI57</f>
        <v>43559.32203389833</v>
      </c>
      <c r="AJ61" s="24">
        <f>Assumptions!AJ57</f>
        <v>45084.745762711893</v>
      </c>
      <c r="AK61" s="24">
        <f>Assumptions!AK57</f>
        <v>46610.169491525456</v>
      </c>
      <c r="AL61" s="24">
        <f>Assumptions!AL57</f>
        <v>48135.593220339018</v>
      </c>
      <c r="AM61" s="24">
        <f>Assumptions!AM57</f>
        <v>49661.016949152581</v>
      </c>
      <c r="AN61" s="24">
        <f>Assumptions!AN57</f>
        <v>51186.440677966144</v>
      </c>
      <c r="AO61" s="24">
        <f>Assumptions!AO57</f>
        <v>52711.864406779707</v>
      </c>
      <c r="AP61" s="24">
        <f>Assumptions!AP57</f>
        <v>54237.28813559327</v>
      </c>
      <c r="AQ61" s="24">
        <f>Assumptions!AQ57</f>
        <v>55762.711864406832</v>
      </c>
      <c r="AR61" s="24">
        <f>Assumptions!AR57</f>
        <v>57288.135593220395</v>
      </c>
      <c r="AS61" s="24">
        <f>Assumptions!AS57</f>
        <v>58813.559322033958</v>
      </c>
      <c r="AT61" s="24">
        <f>Assumptions!AT57</f>
        <v>60338.983050847521</v>
      </c>
      <c r="AU61" s="24">
        <f>Assumptions!AU57</f>
        <v>61864.406779661083</v>
      </c>
      <c r="AV61" s="24">
        <f>Assumptions!AV57</f>
        <v>63389.830508474646</v>
      </c>
      <c r="AW61" s="24">
        <f>Assumptions!AW57</f>
        <v>64915.254237288209</v>
      </c>
      <c r="AX61" s="24">
        <f>Assumptions!AX57</f>
        <v>66440.677966101764</v>
      </c>
      <c r="AY61" s="24">
        <f>Assumptions!AY57</f>
        <v>67966.101694915327</v>
      </c>
      <c r="AZ61" s="24">
        <f>Assumptions!AZ57</f>
        <v>69491.52542372889</v>
      </c>
      <c r="BA61" s="24">
        <f>Assumptions!BA57</f>
        <v>71016.949152542453</v>
      </c>
      <c r="BB61" s="24">
        <f>Assumptions!BB57</f>
        <v>72542.372881356016</v>
      </c>
      <c r="BC61" s="24">
        <f>Assumptions!BC57</f>
        <v>74067.796610169578</v>
      </c>
      <c r="BD61" s="24">
        <f>Assumptions!BD57</f>
        <v>75593.220338983141</v>
      </c>
      <c r="BE61" s="24">
        <f>Assumptions!BE57</f>
        <v>77118.644067796704</v>
      </c>
      <c r="BF61" s="24">
        <f>Assumptions!BF57</f>
        <v>78644.067796610267</v>
      </c>
      <c r="BG61" s="24">
        <f>Assumptions!BG57</f>
        <v>80169.491525423829</v>
      </c>
      <c r="BH61" s="24">
        <f>Assumptions!BH57</f>
        <v>81694.915254237392</v>
      </c>
      <c r="BI61" s="24">
        <f>Assumptions!BI57</f>
        <v>83220.338983050955</v>
      </c>
      <c r="BJ61" s="24">
        <f>Assumptions!BJ57</f>
        <v>84745.762711864518</v>
      </c>
      <c r="BK61" s="24">
        <f>Assumptions!BK57</f>
        <v>86271.186440678081</v>
      </c>
      <c r="BL61" s="24">
        <f>Assumptions!BL57</f>
        <v>87796.610169491643</v>
      </c>
      <c r="BM61" s="24">
        <f>Assumptions!BM57</f>
        <v>89322.033898305206</v>
      </c>
      <c r="BN61" s="24">
        <f>Assumptions!BN57</f>
        <v>90847.457627118769</v>
      </c>
      <c r="BO61" s="24">
        <f>Assumptions!BO57</f>
        <v>92372.881355932332</v>
      </c>
      <c r="BP61" s="24">
        <f>Assumptions!BP57</f>
        <v>93898.305084745894</v>
      </c>
      <c r="BQ61" s="24">
        <f>Assumptions!BQ57</f>
        <v>95423.728813559457</v>
      </c>
      <c r="BR61" s="24">
        <f>Assumptions!BR57</f>
        <v>96949.15254237302</v>
      </c>
      <c r="BS61" s="24">
        <f>Assumptions!BS57</f>
        <v>98474.576271186583</v>
      </c>
      <c r="BT61" s="24">
        <f>Assumptions!BT57</f>
        <v>100000.00000000015</v>
      </c>
      <c r="BU61" s="11"/>
      <c r="BV61" s="132">
        <f t="shared" si="80"/>
        <v>220677.96610169491</v>
      </c>
      <c r="BW61" s="132">
        <f t="shared" si="80"/>
        <v>440338.9830508476</v>
      </c>
      <c r="BX61" s="132">
        <f t="shared" si="80"/>
        <v>660000.00000000058</v>
      </c>
      <c r="BY61" s="132">
        <f t="shared" si="80"/>
        <v>879661.01694915362</v>
      </c>
      <c r="BZ61" s="132">
        <f t="shared" si="80"/>
        <v>1099322.0338983065</v>
      </c>
    </row>
    <row r="62" spans="1:78" x14ac:dyDescent="0.3">
      <c r="A62" s="29" t="str">
        <f>Assumptions!A58</f>
        <v>Product Development Team Roles &amp; Headcount</v>
      </c>
      <c r="BU62" s="11"/>
    </row>
    <row r="63" spans="1:78" x14ac:dyDescent="0.3">
      <c r="A63" t="str">
        <f>Assumptions!A59</f>
        <v>Product Developemt Team</v>
      </c>
      <c r="F63" s="25" t="str">
        <f>Assumptions!F59</f>
        <v>Monthly Salary/Headcount</v>
      </c>
      <c r="G63" s="27">
        <f>Assumptions!G59</f>
        <v>60000</v>
      </c>
      <c r="H63" s="27">
        <f>Assumptions!H59</f>
        <v>0.15</v>
      </c>
      <c r="I63" s="129" t="str">
        <f>Assumptions!I59</f>
        <v>Annual Increment</v>
      </c>
      <c r="M63" s="24">
        <f>($G63*Assumptions!M59)*(1+'Cost Buildup'!$H63)^(M$3-1)</f>
        <v>240000</v>
      </c>
      <c r="N63" s="24">
        <f>($G63*Assumptions!N59)*(1+'Cost Buildup'!$H63)^(N$3-1)</f>
        <v>240000</v>
      </c>
      <c r="O63" s="24">
        <f>($G63*Assumptions!O59)*(1+'Cost Buildup'!$H63)^(O$3-1)</f>
        <v>240000</v>
      </c>
      <c r="P63" s="24">
        <f>($G63*Assumptions!P59)*(1+'Cost Buildup'!$H63)^(P$3-1)</f>
        <v>240000</v>
      </c>
      <c r="Q63" s="24">
        <f>($G63*Assumptions!Q59)*(1+'Cost Buildup'!$H63)^(Q$3-1)</f>
        <v>240000</v>
      </c>
      <c r="R63" s="24">
        <f>($G63*Assumptions!R59)*(1+'Cost Buildup'!$H63)^(R$3-1)</f>
        <v>240000</v>
      </c>
      <c r="S63" s="24">
        <f>($G63*Assumptions!S59)*(1+'Cost Buildup'!$H63)^(S$3-1)</f>
        <v>300000</v>
      </c>
      <c r="T63" s="24">
        <f>($G63*Assumptions!T59)*(1+'Cost Buildup'!$H63)^(T$3-1)</f>
        <v>300000</v>
      </c>
      <c r="U63" s="24">
        <f>($G63*Assumptions!U59)*(1+'Cost Buildup'!$H63)^(U$3-1)</f>
        <v>300000</v>
      </c>
      <c r="V63" s="24">
        <f>($G63*Assumptions!V59)*(1+'Cost Buildup'!$H63)^(V$3-1)</f>
        <v>300000</v>
      </c>
      <c r="W63" s="24">
        <f>($G63*Assumptions!W59)*(1+'Cost Buildup'!$H63)^(W$3-1)</f>
        <v>300000</v>
      </c>
      <c r="X63" s="24">
        <f>($G63*Assumptions!X59)*(1+'Cost Buildup'!$H63)^(X$3-1)</f>
        <v>300000</v>
      </c>
      <c r="Y63" s="24">
        <f>($G63*Assumptions!Y59)*(1+'Cost Buildup'!$H63)^(Y$3-1)</f>
        <v>482999.99999999994</v>
      </c>
      <c r="Z63" s="24">
        <f>($G63*Assumptions!Z59)*(1+'Cost Buildup'!$H63)^(Z$3-1)</f>
        <v>482999.99999999994</v>
      </c>
      <c r="AA63" s="24">
        <f>($G63*Assumptions!AA59)*(1+'Cost Buildup'!$H63)^(AA$3-1)</f>
        <v>482999.99999999994</v>
      </c>
      <c r="AB63" s="24">
        <f>($G63*Assumptions!AB59)*(1+'Cost Buildup'!$H63)^(AB$3-1)</f>
        <v>482999.99999999994</v>
      </c>
      <c r="AC63" s="24">
        <f>($G63*Assumptions!AC59)*(1+'Cost Buildup'!$H63)^(AC$3-1)</f>
        <v>482999.99999999994</v>
      </c>
      <c r="AD63" s="24">
        <f>($G63*Assumptions!AD59)*(1+'Cost Buildup'!$H63)^(AD$3-1)</f>
        <v>482999.99999999994</v>
      </c>
      <c r="AE63" s="24">
        <f>($G63*Assumptions!AE59)*(1+'Cost Buildup'!$H63)^(AE$3-1)</f>
        <v>482999.99999999994</v>
      </c>
      <c r="AF63" s="24">
        <f>($G63*Assumptions!AF59)*(1+'Cost Buildup'!$H63)^(AF$3-1)</f>
        <v>482999.99999999994</v>
      </c>
      <c r="AG63" s="24">
        <f>($G63*Assumptions!AG59)*(1+'Cost Buildup'!$H63)^(AG$3-1)</f>
        <v>482999.99999999994</v>
      </c>
      <c r="AH63" s="24">
        <f>($G63*Assumptions!AH59)*(1+'Cost Buildup'!$H63)^(AH$3-1)</f>
        <v>482999.99999999994</v>
      </c>
      <c r="AI63" s="24">
        <f>($G63*Assumptions!AI59)*(1+'Cost Buildup'!$H63)^(AI$3-1)</f>
        <v>482999.99999999994</v>
      </c>
      <c r="AJ63" s="24">
        <f>($G63*Assumptions!AJ59)*(1+'Cost Buildup'!$H63)^(AJ$3-1)</f>
        <v>482999.99999999994</v>
      </c>
      <c r="AK63" s="24">
        <f>($G63*Assumptions!AK59)*(1+'Cost Buildup'!$H63)^(AK$3-1)</f>
        <v>793499.99999999988</v>
      </c>
      <c r="AL63" s="24">
        <f>($G63*Assumptions!AL59)*(1+'Cost Buildup'!$H63)^(AL$3-1)</f>
        <v>793499.99999999988</v>
      </c>
      <c r="AM63" s="24">
        <f>($G63*Assumptions!AM59)*(1+'Cost Buildup'!$H63)^(AM$3-1)</f>
        <v>793499.99999999988</v>
      </c>
      <c r="AN63" s="24">
        <f>($G63*Assumptions!AN59)*(1+'Cost Buildup'!$H63)^(AN$3-1)</f>
        <v>793499.99999999988</v>
      </c>
      <c r="AO63" s="24">
        <f>($G63*Assumptions!AO59)*(1+'Cost Buildup'!$H63)^(AO$3-1)</f>
        <v>793499.99999999988</v>
      </c>
      <c r="AP63" s="24">
        <f>($G63*Assumptions!AP59)*(1+'Cost Buildup'!$H63)^(AP$3-1)</f>
        <v>793499.99999999988</v>
      </c>
      <c r="AQ63" s="24">
        <f>($G63*Assumptions!AQ59)*(1+'Cost Buildup'!$H63)^(AQ$3-1)</f>
        <v>793499.99999999988</v>
      </c>
      <c r="AR63" s="24">
        <f>($G63*Assumptions!AR59)*(1+'Cost Buildup'!$H63)^(AR$3-1)</f>
        <v>793499.99999999988</v>
      </c>
      <c r="AS63" s="24">
        <f>($G63*Assumptions!AS59)*(1+'Cost Buildup'!$H63)^(AS$3-1)</f>
        <v>793499.99999999988</v>
      </c>
      <c r="AT63" s="24">
        <f>($G63*Assumptions!AT59)*(1+'Cost Buildup'!$H63)^(AT$3-1)</f>
        <v>793499.99999999988</v>
      </c>
      <c r="AU63" s="24">
        <f>($G63*Assumptions!AU59)*(1+'Cost Buildup'!$H63)^(AU$3-1)</f>
        <v>793499.99999999988</v>
      </c>
      <c r="AV63" s="24">
        <f>($G63*Assumptions!AV59)*(1+'Cost Buildup'!$H63)^(AV$3-1)</f>
        <v>793499.99999999988</v>
      </c>
      <c r="AW63" s="24">
        <f>($G63*Assumptions!AW59)*(1+'Cost Buildup'!$H63)^(AW$3-1)</f>
        <v>912524.99999999977</v>
      </c>
      <c r="AX63" s="24">
        <f>($G63*Assumptions!AX59)*(1+'Cost Buildup'!$H63)^(AX$3-1)</f>
        <v>912524.99999999977</v>
      </c>
      <c r="AY63" s="24">
        <f>($G63*Assumptions!AY59)*(1+'Cost Buildup'!$H63)^(AY$3-1)</f>
        <v>912524.99999999977</v>
      </c>
      <c r="AZ63" s="24">
        <f>($G63*Assumptions!AZ59)*(1+'Cost Buildup'!$H63)^(AZ$3-1)</f>
        <v>912524.99999999977</v>
      </c>
      <c r="BA63" s="24">
        <f>($G63*Assumptions!BA59)*(1+'Cost Buildup'!$H63)^(BA$3-1)</f>
        <v>912524.99999999977</v>
      </c>
      <c r="BB63" s="24">
        <f>($G63*Assumptions!BB59)*(1+'Cost Buildup'!$H63)^(BB$3-1)</f>
        <v>912524.99999999977</v>
      </c>
      <c r="BC63" s="24">
        <f>($G63*Assumptions!BC59)*(1+'Cost Buildup'!$H63)^(BC$3-1)</f>
        <v>912524.99999999977</v>
      </c>
      <c r="BD63" s="24">
        <f>($G63*Assumptions!BD59)*(1+'Cost Buildup'!$H63)^(BD$3-1)</f>
        <v>912524.99999999977</v>
      </c>
      <c r="BE63" s="24">
        <f>($G63*Assumptions!BE59)*(1+'Cost Buildup'!$H63)^(BE$3-1)</f>
        <v>912524.99999999977</v>
      </c>
      <c r="BF63" s="24">
        <f>($G63*Assumptions!BF59)*(1+'Cost Buildup'!$H63)^(BF$3-1)</f>
        <v>912524.99999999977</v>
      </c>
      <c r="BG63" s="24">
        <f>($G63*Assumptions!BG59)*(1+'Cost Buildup'!$H63)^(BG$3-1)</f>
        <v>912524.99999999977</v>
      </c>
      <c r="BH63" s="24">
        <f>($G63*Assumptions!BH59)*(1+'Cost Buildup'!$H63)^(BH$3-1)</f>
        <v>912524.99999999977</v>
      </c>
      <c r="BI63" s="24">
        <f>($G63*Assumptions!BI59)*(1+'Cost Buildup'!$H63)^(BI$3-1)</f>
        <v>1049403.7499999998</v>
      </c>
      <c r="BJ63" s="24">
        <f>($G63*Assumptions!BJ59)*(1+'Cost Buildup'!$H63)^(BJ$3-1)</f>
        <v>1049403.7499999998</v>
      </c>
      <c r="BK63" s="24">
        <f>($G63*Assumptions!BK59)*(1+'Cost Buildup'!$H63)^(BK$3-1)</f>
        <v>1049403.7499999998</v>
      </c>
      <c r="BL63" s="24">
        <f>($G63*Assumptions!BL59)*(1+'Cost Buildup'!$H63)^(BL$3-1)</f>
        <v>1049403.7499999998</v>
      </c>
      <c r="BM63" s="24">
        <f>($G63*Assumptions!BM59)*(1+'Cost Buildup'!$H63)^(BM$3-1)</f>
        <v>1049403.7499999998</v>
      </c>
      <c r="BN63" s="24">
        <f>($G63*Assumptions!BN59)*(1+'Cost Buildup'!$H63)^(BN$3-1)</f>
        <v>1049403.7499999998</v>
      </c>
      <c r="BO63" s="24">
        <f>($G63*Assumptions!BO59)*(1+'Cost Buildup'!$H63)^(BO$3-1)</f>
        <v>1049403.7499999998</v>
      </c>
      <c r="BP63" s="24">
        <f>($G63*Assumptions!BP59)*(1+'Cost Buildup'!$H63)^(BP$3-1)</f>
        <v>1049403.7499999998</v>
      </c>
      <c r="BQ63" s="24">
        <f>($G63*Assumptions!BQ59)*(1+'Cost Buildup'!$H63)^(BQ$3-1)</f>
        <v>1049403.7499999998</v>
      </c>
      <c r="BR63" s="24">
        <f>($G63*Assumptions!BR59)*(1+'Cost Buildup'!$H63)^(BR$3-1)</f>
        <v>1049403.7499999998</v>
      </c>
      <c r="BS63" s="24">
        <f>($G63*Assumptions!BS59)*(1+'Cost Buildup'!$H63)^(BS$3-1)</f>
        <v>1049403.7499999998</v>
      </c>
      <c r="BT63" s="24">
        <f>($G63*Assumptions!BT59)*(1+'Cost Buildup'!$H63)^(BT$3-1)</f>
        <v>1049403.7499999998</v>
      </c>
      <c r="BU63" s="11"/>
      <c r="BV63" s="132">
        <f t="shared" si="80"/>
        <v>3240000</v>
      </c>
      <c r="BW63" s="132">
        <f t="shared" si="80"/>
        <v>5795999.9999999991</v>
      </c>
      <c r="BX63" s="132">
        <f t="shared" si="80"/>
        <v>9521999.9999999981</v>
      </c>
      <c r="BY63" s="132">
        <f t="shared" si="80"/>
        <v>10950299.999999998</v>
      </c>
      <c r="BZ63" s="132">
        <f t="shared" si="80"/>
        <v>12592844.999999998</v>
      </c>
    </row>
    <row r="64" spans="1:78" x14ac:dyDescent="0.3">
      <c r="A64" s="22" t="s">
        <v>174</v>
      </c>
      <c r="M64" s="49">
        <f>M61+M63</f>
        <v>250000</v>
      </c>
      <c r="N64" s="49">
        <f t="shared" ref="N64:BT64" si="83">N61+N63</f>
        <v>251525.42372881356</v>
      </c>
      <c r="O64" s="49">
        <f t="shared" si="83"/>
        <v>253050.84745762713</v>
      </c>
      <c r="P64" s="49">
        <f t="shared" si="83"/>
        <v>254576.27118644069</v>
      </c>
      <c r="Q64" s="49">
        <f t="shared" si="83"/>
        <v>256101.69491525425</v>
      </c>
      <c r="R64" s="49">
        <f t="shared" si="83"/>
        <v>257627.11864406778</v>
      </c>
      <c r="S64" s="49">
        <f t="shared" si="83"/>
        <v>319152.54237288138</v>
      </c>
      <c r="T64" s="49">
        <f t="shared" si="83"/>
        <v>320677.96610169491</v>
      </c>
      <c r="U64" s="49">
        <f t="shared" si="83"/>
        <v>322203.3898305085</v>
      </c>
      <c r="V64" s="49">
        <f t="shared" si="83"/>
        <v>323728.81355932204</v>
      </c>
      <c r="W64" s="49">
        <f t="shared" si="83"/>
        <v>325254.23728813557</v>
      </c>
      <c r="X64" s="49">
        <f t="shared" si="83"/>
        <v>326779.66101694916</v>
      </c>
      <c r="Y64" s="49">
        <f t="shared" si="83"/>
        <v>511305.08474576264</v>
      </c>
      <c r="Z64" s="49">
        <f t="shared" si="83"/>
        <v>512830.50847457623</v>
      </c>
      <c r="AA64" s="49">
        <f t="shared" si="83"/>
        <v>514355.93220338976</v>
      </c>
      <c r="AB64" s="49">
        <f t="shared" si="83"/>
        <v>515881.35593220335</v>
      </c>
      <c r="AC64" s="49">
        <f t="shared" si="83"/>
        <v>517406.77966101689</v>
      </c>
      <c r="AD64" s="49">
        <f t="shared" si="83"/>
        <v>518932.20338983048</v>
      </c>
      <c r="AE64" s="49">
        <f t="shared" si="83"/>
        <v>520457.62711864401</v>
      </c>
      <c r="AF64" s="49">
        <f t="shared" si="83"/>
        <v>521983.05084745761</v>
      </c>
      <c r="AG64" s="49">
        <f t="shared" si="83"/>
        <v>523508.47457627114</v>
      </c>
      <c r="AH64" s="49">
        <f t="shared" si="83"/>
        <v>525033.89830508467</v>
      </c>
      <c r="AI64" s="49">
        <f t="shared" si="83"/>
        <v>526559.32203389832</v>
      </c>
      <c r="AJ64" s="49">
        <f t="shared" si="83"/>
        <v>528084.74576271186</v>
      </c>
      <c r="AK64" s="49">
        <f t="shared" si="83"/>
        <v>840110.16949152539</v>
      </c>
      <c r="AL64" s="49">
        <f t="shared" si="83"/>
        <v>841635.59322033892</v>
      </c>
      <c r="AM64" s="49">
        <f t="shared" si="83"/>
        <v>843161.01694915246</v>
      </c>
      <c r="AN64" s="49">
        <f t="shared" si="83"/>
        <v>844686.44067796599</v>
      </c>
      <c r="AO64" s="49">
        <f t="shared" si="83"/>
        <v>846211.86440677964</v>
      </c>
      <c r="AP64" s="49">
        <f t="shared" si="83"/>
        <v>847737.28813559317</v>
      </c>
      <c r="AQ64" s="49">
        <f t="shared" si="83"/>
        <v>849262.71186440671</v>
      </c>
      <c r="AR64" s="49">
        <f t="shared" si="83"/>
        <v>850788.13559322024</v>
      </c>
      <c r="AS64" s="49">
        <f t="shared" si="83"/>
        <v>852313.55932203389</v>
      </c>
      <c r="AT64" s="49">
        <f t="shared" si="83"/>
        <v>853838.98305084743</v>
      </c>
      <c r="AU64" s="49">
        <f t="shared" si="83"/>
        <v>855364.40677966096</v>
      </c>
      <c r="AV64" s="49">
        <f t="shared" si="83"/>
        <v>856889.83050847449</v>
      </c>
      <c r="AW64" s="49">
        <f t="shared" si="83"/>
        <v>977440.25423728803</v>
      </c>
      <c r="AX64" s="49">
        <f t="shared" si="83"/>
        <v>978965.67796610156</v>
      </c>
      <c r="AY64" s="49">
        <f t="shared" si="83"/>
        <v>980491.10169491509</v>
      </c>
      <c r="AZ64" s="49">
        <f t="shared" si="83"/>
        <v>982016.52542372863</v>
      </c>
      <c r="BA64" s="49">
        <f t="shared" si="83"/>
        <v>983541.94915254228</v>
      </c>
      <c r="BB64" s="49">
        <f t="shared" si="83"/>
        <v>985067.37288135581</v>
      </c>
      <c r="BC64" s="49">
        <f t="shared" si="83"/>
        <v>986592.79661016935</v>
      </c>
      <c r="BD64" s="49">
        <f t="shared" si="83"/>
        <v>988118.22033898288</v>
      </c>
      <c r="BE64" s="49">
        <f t="shared" si="83"/>
        <v>989643.64406779641</v>
      </c>
      <c r="BF64" s="49">
        <f t="shared" si="83"/>
        <v>991169.06779661006</v>
      </c>
      <c r="BG64" s="49">
        <f t="shared" si="83"/>
        <v>992694.4915254236</v>
      </c>
      <c r="BH64" s="49">
        <f t="shared" si="83"/>
        <v>994219.91525423713</v>
      </c>
      <c r="BI64" s="49">
        <f t="shared" si="83"/>
        <v>1132624.0889830508</v>
      </c>
      <c r="BJ64" s="49">
        <f t="shared" si="83"/>
        <v>1134149.5127118642</v>
      </c>
      <c r="BK64" s="49">
        <f t="shared" si="83"/>
        <v>1135674.9364406778</v>
      </c>
      <c r="BL64" s="49">
        <f t="shared" si="83"/>
        <v>1137200.3601694915</v>
      </c>
      <c r="BM64" s="49">
        <f t="shared" si="83"/>
        <v>1138725.7838983049</v>
      </c>
      <c r="BN64" s="49">
        <f t="shared" si="83"/>
        <v>1140251.2076271186</v>
      </c>
      <c r="BO64" s="49">
        <f t="shared" si="83"/>
        <v>1141776.631355932</v>
      </c>
      <c r="BP64" s="49">
        <f t="shared" si="83"/>
        <v>1143302.0550847456</v>
      </c>
      <c r="BQ64" s="49">
        <f t="shared" si="83"/>
        <v>1144827.4788135593</v>
      </c>
      <c r="BR64" s="49">
        <f t="shared" si="83"/>
        <v>1146352.9025423727</v>
      </c>
      <c r="BS64" s="49">
        <f t="shared" si="83"/>
        <v>1147878.3262711863</v>
      </c>
      <c r="BT64" s="49">
        <f t="shared" si="83"/>
        <v>1149403.75</v>
      </c>
      <c r="BU64" s="11"/>
      <c r="BV64" s="130">
        <f t="shared" si="80"/>
        <v>3460677.9661016953</v>
      </c>
      <c r="BW64" s="130">
        <f t="shared" si="80"/>
        <v>6236338.9830508474</v>
      </c>
      <c r="BX64" s="130">
        <f t="shared" si="80"/>
        <v>10182000</v>
      </c>
      <c r="BY64" s="130">
        <f t="shared" si="80"/>
        <v>11829961.016949149</v>
      </c>
      <c r="BZ64" s="130">
        <f t="shared" si="80"/>
        <v>13692167.033898303</v>
      </c>
    </row>
    <row r="65" spans="1:78" x14ac:dyDescent="0.3">
      <c r="A65" s="52" t="s">
        <v>198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</row>
    <row r="66" spans="1:78" x14ac:dyDescent="0.3">
      <c r="A66" s="29" t="s">
        <v>284</v>
      </c>
      <c r="BU66" s="11"/>
    </row>
    <row r="67" spans="1:78" x14ac:dyDescent="0.3">
      <c r="A67" s="29" t="s">
        <v>285</v>
      </c>
      <c r="M67" s="22">
        <f>SUM(M68:M69)</f>
        <v>2</v>
      </c>
      <c r="N67" s="22">
        <f t="shared" ref="N67:BT67" si="84">SUM(N68:N69)</f>
        <v>2</v>
      </c>
      <c r="O67" s="22">
        <f t="shared" si="84"/>
        <v>2</v>
      </c>
      <c r="P67" s="22">
        <f t="shared" si="84"/>
        <v>3</v>
      </c>
      <c r="Q67" s="22">
        <f t="shared" si="84"/>
        <v>3</v>
      </c>
      <c r="R67" s="22">
        <f t="shared" si="84"/>
        <v>3</v>
      </c>
      <c r="S67" s="22">
        <f t="shared" si="84"/>
        <v>6</v>
      </c>
      <c r="T67" s="22">
        <f t="shared" si="84"/>
        <v>6</v>
      </c>
      <c r="U67" s="22">
        <f t="shared" si="84"/>
        <v>6</v>
      </c>
      <c r="V67" s="22">
        <f t="shared" si="84"/>
        <v>9</v>
      </c>
      <c r="W67" s="22">
        <f t="shared" si="84"/>
        <v>9</v>
      </c>
      <c r="X67" s="22">
        <f t="shared" si="84"/>
        <v>9</v>
      </c>
      <c r="Y67" s="22">
        <f t="shared" si="84"/>
        <v>10</v>
      </c>
      <c r="Z67" s="22">
        <f t="shared" si="84"/>
        <v>10</v>
      </c>
      <c r="AA67" s="22">
        <f t="shared" si="84"/>
        <v>10</v>
      </c>
      <c r="AB67" s="22">
        <f t="shared" si="84"/>
        <v>11</v>
      </c>
      <c r="AC67" s="22">
        <f t="shared" si="84"/>
        <v>11</v>
      </c>
      <c r="AD67" s="22">
        <f t="shared" si="84"/>
        <v>11</v>
      </c>
      <c r="AE67" s="22">
        <f t="shared" si="84"/>
        <v>22</v>
      </c>
      <c r="AF67" s="22">
        <f t="shared" si="84"/>
        <v>22</v>
      </c>
      <c r="AG67" s="22">
        <f t="shared" si="84"/>
        <v>22</v>
      </c>
      <c r="AH67" s="22">
        <f t="shared" si="84"/>
        <v>24</v>
      </c>
      <c r="AI67" s="22">
        <f t="shared" si="84"/>
        <v>24</v>
      </c>
      <c r="AJ67" s="22">
        <f t="shared" si="84"/>
        <v>24</v>
      </c>
      <c r="AK67" s="22">
        <f t="shared" si="84"/>
        <v>25</v>
      </c>
      <c r="AL67" s="22">
        <f t="shared" si="84"/>
        <v>25</v>
      </c>
      <c r="AM67" s="22">
        <f t="shared" si="84"/>
        <v>25</v>
      </c>
      <c r="AN67" s="22">
        <f t="shared" si="84"/>
        <v>26</v>
      </c>
      <c r="AO67" s="22">
        <f t="shared" si="84"/>
        <v>26</v>
      </c>
      <c r="AP67" s="22">
        <f t="shared" si="84"/>
        <v>26</v>
      </c>
      <c r="AQ67" s="22">
        <f t="shared" si="84"/>
        <v>28</v>
      </c>
      <c r="AR67" s="22">
        <f t="shared" si="84"/>
        <v>28</v>
      </c>
      <c r="AS67" s="22">
        <f t="shared" si="84"/>
        <v>28</v>
      </c>
      <c r="AT67" s="22">
        <f t="shared" si="84"/>
        <v>29</v>
      </c>
      <c r="AU67" s="22">
        <f t="shared" si="84"/>
        <v>29</v>
      </c>
      <c r="AV67" s="22">
        <f t="shared" si="84"/>
        <v>29</v>
      </c>
      <c r="AW67" s="22">
        <f t="shared" si="84"/>
        <v>33</v>
      </c>
      <c r="AX67" s="22">
        <f t="shared" si="84"/>
        <v>33</v>
      </c>
      <c r="AY67" s="22">
        <f t="shared" si="84"/>
        <v>33</v>
      </c>
      <c r="AZ67" s="22">
        <f t="shared" si="84"/>
        <v>34</v>
      </c>
      <c r="BA67" s="22">
        <f t="shared" si="84"/>
        <v>34</v>
      </c>
      <c r="BB67" s="22">
        <f t="shared" si="84"/>
        <v>34</v>
      </c>
      <c r="BC67" s="22">
        <f t="shared" si="84"/>
        <v>35</v>
      </c>
      <c r="BD67" s="22">
        <f t="shared" si="84"/>
        <v>35</v>
      </c>
      <c r="BE67" s="22">
        <f t="shared" si="84"/>
        <v>35</v>
      </c>
      <c r="BF67" s="22">
        <f t="shared" si="84"/>
        <v>36</v>
      </c>
      <c r="BG67" s="22">
        <f t="shared" si="84"/>
        <v>36</v>
      </c>
      <c r="BH67" s="22">
        <f t="shared" si="84"/>
        <v>36</v>
      </c>
      <c r="BI67" s="22">
        <f t="shared" si="84"/>
        <v>41</v>
      </c>
      <c r="BJ67" s="22">
        <f t="shared" si="84"/>
        <v>41</v>
      </c>
      <c r="BK67" s="22">
        <f t="shared" si="84"/>
        <v>41</v>
      </c>
      <c r="BL67" s="22">
        <f t="shared" si="84"/>
        <v>42</v>
      </c>
      <c r="BM67" s="22">
        <f t="shared" si="84"/>
        <v>42</v>
      </c>
      <c r="BN67" s="22">
        <f t="shared" si="84"/>
        <v>42</v>
      </c>
      <c r="BO67" s="22">
        <f t="shared" si="84"/>
        <v>43</v>
      </c>
      <c r="BP67" s="22">
        <f t="shared" si="84"/>
        <v>43</v>
      </c>
      <c r="BQ67" s="22">
        <f t="shared" si="84"/>
        <v>43</v>
      </c>
      <c r="BR67" s="22">
        <f t="shared" si="84"/>
        <v>44</v>
      </c>
      <c r="BS67" s="22">
        <f t="shared" si="84"/>
        <v>44</v>
      </c>
      <c r="BT67" s="22">
        <f t="shared" si="84"/>
        <v>44</v>
      </c>
      <c r="BU67" s="11"/>
    </row>
    <row r="68" spans="1:78" x14ac:dyDescent="0.3">
      <c r="A68" t="str">
        <f>A36</f>
        <v>Sales (SDR) Headcount</v>
      </c>
      <c r="M68" s="119">
        <f t="shared" ref="M68:AR68" si="85">M36</f>
        <v>2</v>
      </c>
      <c r="N68" s="119">
        <f t="shared" si="85"/>
        <v>2</v>
      </c>
      <c r="O68" s="119">
        <f t="shared" si="85"/>
        <v>2</v>
      </c>
      <c r="P68" s="119">
        <f t="shared" si="85"/>
        <v>3</v>
      </c>
      <c r="Q68" s="119">
        <f t="shared" si="85"/>
        <v>3</v>
      </c>
      <c r="R68" s="119">
        <f t="shared" si="85"/>
        <v>3</v>
      </c>
      <c r="S68" s="119">
        <f t="shared" si="85"/>
        <v>5</v>
      </c>
      <c r="T68" s="119">
        <f t="shared" si="85"/>
        <v>5</v>
      </c>
      <c r="U68" s="119">
        <f t="shared" si="85"/>
        <v>5</v>
      </c>
      <c r="V68" s="119">
        <f t="shared" si="85"/>
        <v>8</v>
      </c>
      <c r="W68" s="119">
        <f t="shared" si="85"/>
        <v>8</v>
      </c>
      <c r="X68" s="119">
        <f t="shared" si="85"/>
        <v>8</v>
      </c>
      <c r="Y68" s="119">
        <f t="shared" si="85"/>
        <v>9</v>
      </c>
      <c r="Z68" s="119">
        <f t="shared" si="85"/>
        <v>9</v>
      </c>
      <c r="AA68" s="119">
        <f t="shared" si="85"/>
        <v>9</v>
      </c>
      <c r="AB68" s="119">
        <f t="shared" si="85"/>
        <v>10</v>
      </c>
      <c r="AC68" s="119">
        <f t="shared" si="85"/>
        <v>10</v>
      </c>
      <c r="AD68" s="119">
        <f t="shared" si="85"/>
        <v>10</v>
      </c>
      <c r="AE68" s="119">
        <f t="shared" si="85"/>
        <v>20</v>
      </c>
      <c r="AF68" s="119">
        <f t="shared" si="85"/>
        <v>20</v>
      </c>
      <c r="AG68" s="119">
        <f t="shared" si="85"/>
        <v>20</v>
      </c>
      <c r="AH68" s="119">
        <f t="shared" si="85"/>
        <v>22</v>
      </c>
      <c r="AI68" s="119">
        <f t="shared" si="85"/>
        <v>22</v>
      </c>
      <c r="AJ68" s="119">
        <f t="shared" si="85"/>
        <v>22</v>
      </c>
      <c r="AK68" s="119">
        <f t="shared" si="85"/>
        <v>23</v>
      </c>
      <c r="AL68" s="119">
        <f t="shared" si="85"/>
        <v>23</v>
      </c>
      <c r="AM68" s="119">
        <f t="shared" si="85"/>
        <v>23</v>
      </c>
      <c r="AN68" s="119">
        <f t="shared" si="85"/>
        <v>24</v>
      </c>
      <c r="AO68" s="119">
        <f t="shared" si="85"/>
        <v>24</v>
      </c>
      <c r="AP68" s="119">
        <f t="shared" si="85"/>
        <v>24</v>
      </c>
      <c r="AQ68" s="119">
        <f t="shared" si="85"/>
        <v>25</v>
      </c>
      <c r="AR68" s="119">
        <f t="shared" si="85"/>
        <v>25</v>
      </c>
      <c r="AS68" s="119">
        <f t="shared" ref="AS68:BT68" si="86">AS36</f>
        <v>25</v>
      </c>
      <c r="AT68" s="119">
        <f t="shared" si="86"/>
        <v>26</v>
      </c>
      <c r="AU68" s="119">
        <f t="shared" si="86"/>
        <v>26</v>
      </c>
      <c r="AV68" s="119">
        <f t="shared" si="86"/>
        <v>26</v>
      </c>
      <c r="AW68" s="119">
        <f t="shared" si="86"/>
        <v>30</v>
      </c>
      <c r="AX68" s="119">
        <f t="shared" si="86"/>
        <v>30</v>
      </c>
      <c r="AY68" s="119">
        <f t="shared" si="86"/>
        <v>30</v>
      </c>
      <c r="AZ68" s="119">
        <f t="shared" si="86"/>
        <v>31</v>
      </c>
      <c r="BA68" s="119">
        <f t="shared" si="86"/>
        <v>31</v>
      </c>
      <c r="BB68" s="119">
        <f t="shared" si="86"/>
        <v>31</v>
      </c>
      <c r="BC68" s="119">
        <f t="shared" si="86"/>
        <v>32</v>
      </c>
      <c r="BD68" s="119">
        <f t="shared" si="86"/>
        <v>32</v>
      </c>
      <c r="BE68" s="119">
        <f t="shared" si="86"/>
        <v>32</v>
      </c>
      <c r="BF68" s="119">
        <f t="shared" si="86"/>
        <v>33</v>
      </c>
      <c r="BG68" s="119">
        <f t="shared" si="86"/>
        <v>33</v>
      </c>
      <c r="BH68" s="119">
        <f t="shared" si="86"/>
        <v>33</v>
      </c>
      <c r="BI68" s="119">
        <f t="shared" si="86"/>
        <v>37</v>
      </c>
      <c r="BJ68" s="119">
        <f t="shared" si="86"/>
        <v>37</v>
      </c>
      <c r="BK68" s="119">
        <f t="shared" si="86"/>
        <v>37</v>
      </c>
      <c r="BL68" s="119">
        <f t="shared" si="86"/>
        <v>38</v>
      </c>
      <c r="BM68" s="119">
        <f t="shared" si="86"/>
        <v>38</v>
      </c>
      <c r="BN68" s="119">
        <f t="shared" si="86"/>
        <v>38</v>
      </c>
      <c r="BO68" s="119">
        <f t="shared" si="86"/>
        <v>39</v>
      </c>
      <c r="BP68" s="119">
        <f t="shared" si="86"/>
        <v>39</v>
      </c>
      <c r="BQ68" s="119">
        <f t="shared" si="86"/>
        <v>39</v>
      </c>
      <c r="BR68" s="119">
        <f t="shared" si="86"/>
        <v>40</v>
      </c>
      <c r="BS68" s="119">
        <f t="shared" si="86"/>
        <v>40</v>
      </c>
      <c r="BT68" s="119">
        <f t="shared" si="86"/>
        <v>40</v>
      </c>
      <c r="BU68" s="11"/>
    </row>
    <row r="69" spans="1:78" x14ac:dyDescent="0.3">
      <c r="A69" t="str">
        <f>A37</f>
        <v>Sales Manager Headcount</v>
      </c>
      <c r="M69" s="119">
        <f t="shared" ref="M69:AR69" si="87">M37</f>
        <v>0</v>
      </c>
      <c r="N69" s="119">
        <f t="shared" si="87"/>
        <v>0</v>
      </c>
      <c r="O69" s="119">
        <f t="shared" si="87"/>
        <v>0</v>
      </c>
      <c r="P69" s="119">
        <f t="shared" si="87"/>
        <v>0</v>
      </c>
      <c r="Q69" s="119">
        <f t="shared" si="87"/>
        <v>0</v>
      </c>
      <c r="R69" s="119">
        <f t="shared" si="87"/>
        <v>0</v>
      </c>
      <c r="S69" s="119">
        <f t="shared" si="87"/>
        <v>1</v>
      </c>
      <c r="T69" s="119">
        <f t="shared" si="87"/>
        <v>1</v>
      </c>
      <c r="U69" s="119">
        <f t="shared" si="87"/>
        <v>1</v>
      </c>
      <c r="V69" s="119">
        <f t="shared" si="87"/>
        <v>1</v>
      </c>
      <c r="W69" s="119">
        <f t="shared" si="87"/>
        <v>1</v>
      </c>
      <c r="X69" s="119">
        <f t="shared" si="87"/>
        <v>1</v>
      </c>
      <c r="Y69" s="119">
        <f t="shared" si="87"/>
        <v>1</v>
      </c>
      <c r="Z69" s="119">
        <f t="shared" si="87"/>
        <v>1</v>
      </c>
      <c r="AA69" s="119">
        <f t="shared" si="87"/>
        <v>1</v>
      </c>
      <c r="AB69" s="119">
        <f t="shared" si="87"/>
        <v>1</v>
      </c>
      <c r="AC69" s="119">
        <f t="shared" si="87"/>
        <v>1</v>
      </c>
      <c r="AD69" s="119">
        <f t="shared" si="87"/>
        <v>1</v>
      </c>
      <c r="AE69" s="119">
        <f t="shared" si="87"/>
        <v>2</v>
      </c>
      <c r="AF69" s="119">
        <f t="shared" si="87"/>
        <v>2</v>
      </c>
      <c r="AG69" s="119">
        <f t="shared" si="87"/>
        <v>2</v>
      </c>
      <c r="AH69" s="119">
        <f t="shared" si="87"/>
        <v>2</v>
      </c>
      <c r="AI69" s="119">
        <f t="shared" si="87"/>
        <v>2</v>
      </c>
      <c r="AJ69" s="119">
        <f t="shared" si="87"/>
        <v>2</v>
      </c>
      <c r="AK69" s="119">
        <f t="shared" si="87"/>
        <v>2</v>
      </c>
      <c r="AL69" s="119">
        <f t="shared" si="87"/>
        <v>2</v>
      </c>
      <c r="AM69" s="119">
        <f t="shared" si="87"/>
        <v>2</v>
      </c>
      <c r="AN69" s="119">
        <f t="shared" si="87"/>
        <v>2</v>
      </c>
      <c r="AO69" s="119">
        <f t="shared" si="87"/>
        <v>2</v>
      </c>
      <c r="AP69" s="119">
        <f t="shared" si="87"/>
        <v>2</v>
      </c>
      <c r="AQ69" s="119">
        <f t="shared" si="87"/>
        <v>3</v>
      </c>
      <c r="AR69" s="119">
        <f t="shared" si="87"/>
        <v>3</v>
      </c>
      <c r="AS69" s="119">
        <f t="shared" ref="AS69:BT69" si="88">AS37</f>
        <v>3</v>
      </c>
      <c r="AT69" s="119">
        <f t="shared" si="88"/>
        <v>3</v>
      </c>
      <c r="AU69" s="119">
        <f t="shared" si="88"/>
        <v>3</v>
      </c>
      <c r="AV69" s="119">
        <f t="shared" si="88"/>
        <v>3</v>
      </c>
      <c r="AW69" s="119">
        <f t="shared" si="88"/>
        <v>3</v>
      </c>
      <c r="AX69" s="119">
        <f t="shared" si="88"/>
        <v>3</v>
      </c>
      <c r="AY69" s="119">
        <f t="shared" si="88"/>
        <v>3</v>
      </c>
      <c r="AZ69" s="119">
        <f t="shared" si="88"/>
        <v>3</v>
      </c>
      <c r="BA69" s="119">
        <f t="shared" si="88"/>
        <v>3</v>
      </c>
      <c r="BB69" s="119">
        <f t="shared" si="88"/>
        <v>3</v>
      </c>
      <c r="BC69" s="119">
        <f t="shared" si="88"/>
        <v>3</v>
      </c>
      <c r="BD69" s="119">
        <f t="shared" si="88"/>
        <v>3</v>
      </c>
      <c r="BE69" s="119">
        <f t="shared" si="88"/>
        <v>3</v>
      </c>
      <c r="BF69" s="119">
        <f t="shared" si="88"/>
        <v>3</v>
      </c>
      <c r="BG69" s="119">
        <f t="shared" si="88"/>
        <v>3</v>
      </c>
      <c r="BH69" s="119">
        <f t="shared" si="88"/>
        <v>3</v>
      </c>
      <c r="BI69" s="119">
        <f t="shared" si="88"/>
        <v>4</v>
      </c>
      <c r="BJ69" s="119">
        <f t="shared" si="88"/>
        <v>4</v>
      </c>
      <c r="BK69" s="119">
        <f t="shared" si="88"/>
        <v>4</v>
      </c>
      <c r="BL69" s="119">
        <f t="shared" si="88"/>
        <v>4</v>
      </c>
      <c r="BM69" s="119">
        <f t="shared" si="88"/>
        <v>4</v>
      </c>
      <c r="BN69" s="119">
        <f t="shared" si="88"/>
        <v>4</v>
      </c>
      <c r="BO69" s="119">
        <f t="shared" si="88"/>
        <v>4</v>
      </c>
      <c r="BP69" s="119">
        <f t="shared" si="88"/>
        <v>4</v>
      </c>
      <c r="BQ69" s="119">
        <f t="shared" si="88"/>
        <v>4</v>
      </c>
      <c r="BR69" s="119">
        <f t="shared" si="88"/>
        <v>4</v>
      </c>
      <c r="BS69" s="119">
        <f t="shared" si="88"/>
        <v>4</v>
      </c>
      <c r="BT69" s="119">
        <f t="shared" si="88"/>
        <v>4</v>
      </c>
      <c r="BU69" s="11"/>
    </row>
    <row r="70" spans="1:78" x14ac:dyDescent="0.3">
      <c r="A70" s="29" t="s">
        <v>117</v>
      </c>
      <c r="M70" s="22">
        <f>SUM(M71:M74)</f>
        <v>2</v>
      </c>
      <c r="N70" s="22">
        <f t="shared" ref="N70:BT70" si="89">SUM(N71:N74)</f>
        <v>2</v>
      </c>
      <c r="O70" s="22">
        <f t="shared" si="89"/>
        <v>2</v>
      </c>
      <c r="P70" s="22">
        <f t="shared" si="89"/>
        <v>2</v>
      </c>
      <c r="Q70" s="22">
        <f t="shared" si="89"/>
        <v>2</v>
      </c>
      <c r="R70" s="22">
        <f t="shared" si="89"/>
        <v>2</v>
      </c>
      <c r="S70" s="22">
        <f t="shared" si="89"/>
        <v>2</v>
      </c>
      <c r="T70" s="22">
        <f t="shared" si="89"/>
        <v>2</v>
      </c>
      <c r="U70" s="22">
        <f t="shared" si="89"/>
        <v>2</v>
      </c>
      <c r="V70" s="22">
        <f t="shared" si="89"/>
        <v>2</v>
      </c>
      <c r="W70" s="22">
        <f t="shared" si="89"/>
        <v>2</v>
      </c>
      <c r="X70" s="22">
        <f t="shared" si="89"/>
        <v>2</v>
      </c>
      <c r="Y70" s="22">
        <f t="shared" si="89"/>
        <v>3</v>
      </c>
      <c r="Z70" s="22">
        <f t="shared" si="89"/>
        <v>3</v>
      </c>
      <c r="AA70" s="22">
        <f t="shared" si="89"/>
        <v>3</v>
      </c>
      <c r="AB70" s="22">
        <f t="shared" si="89"/>
        <v>3</v>
      </c>
      <c r="AC70" s="22">
        <f t="shared" si="89"/>
        <v>3</v>
      </c>
      <c r="AD70" s="22">
        <f t="shared" si="89"/>
        <v>3</v>
      </c>
      <c r="AE70" s="22">
        <f t="shared" si="89"/>
        <v>6</v>
      </c>
      <c r="AF70" s="22">
        <f t="shared" si="89"/>
        <v>6</v>
      </c>
      <c r="AG70" s="22">
        <f t="shared" si="89"/>
        <v>6</v>
      </c>
      <c r="AH70" s="22">
        <f t="shared" si="89"/>
        <v>6</v>
      </c>
      <c r="AI70" s="22">
        <f t="shared" si="89"/>
        <v>6</v>
      </c>
      <c r="AJ70" s="22">
        <f t="shared" si="89"/>
        <v>6</v>
      </c>
      <c r="AK70" s="22">
        <f t="shared" si="89"/>
        <v>10</v>
      </c>
      <c r="AL70" s="22">
        <f t="shared" si="89"/>
        <v>10</v>
      </c>
      <c r="AM70" s="22">
        <f t="shared" si="89"/>
        <v>10</v>
      </c>
      <c r="AN70" s="22">
        <f t="shared" si="89"/>
        <v>10</v>
      </c>
      <c r="AO70" s="22">
        <f t="shared" si="89"/>
        <v>10</v>
      </c>
      <c r="AP70" s="22">
        <f t="shared" si="89"/>
        <v>10</v>
      </c>
      <c r="AQ70" s="22">
        <f t="shared" si="89"/>
        <v>10</v>
      </c>
      <c r="AR70" s="22">
        <f t="shared" si="89"/>
        <v>10</v>
      </c>
      <c r="AS70" s="22">
        <f t="shared" si="89"/>
        <v>10</v>
      </c>
      <c r="AT70" s="22">
        <f t="shared" si="89"/>
        <v>10</v>
      </c>
      <c r="AU70" s="22">
        <f t="shared" si="89"/>
        <v>10</v>
      </c>
      <c r="AV70" s="22">
        <f t="shared" si="89"/>
        <v>10</v>
      </c>
      <c r="AW70" s="22">
        <f t="shared" si="89"/>
        <v>10</v>
      </c>
      <c r="AX70" s="22">
        <f t="shared" si="89"/>
        <v>10</v>
      </c>
      <c r="AY70" s="22">
        <f t="shared" si="89"/>
        <v>10</v>
      </c>
      <c r="AZ70" s="22">
        <f t="shared" si="89"/>
        <v>10</v>
      </c>
      <c r="BA70" s="22">
        <f t="shared" si="89"/>
        <v>10</v>
      </c>
      <c r="BB70" s="22">
        <f t="shared" si="89"/>
        <v>10</v>
      </c>
      <c r="BC70" s="22">
        <f t="shared" si="89"/>
        <v>10</v>
      </c>
      <c r="BD70" s="22">
        <f t="shared" si="89"/>
        <v>10</v>
      </c>
      <c r="BE70" s="22">
        <f t="shared" si="89"/>
        <v>10</v>
      </c>
      <c r="BF70" s="22">
        <f t="shared" si="89"/>
        <v>10</v>
      </c>
      <c r="BG70" s="22">
        <f t="shared" si="89"/>
        <v>10</v>
      </c>
      <c r="BH70" s="22">
        <f t="shared" si="89"/>
        <v>10</v>
      </c>
      <c r="BI70" s="22">
        <f t="shared" si="89"/>
        <v>10</v>
      </c>
      <c r="BJ70" s="22">
        <f t="shared" si="89"/>
        <v>10</v>
      </c>
      <c r="BK70" s="22">
        <f t="shared" si="89"/>
        <v>10</v>
      </c>
      <c r="BL70" s="22">
        <f t="shared" si="89"/>
        <v>10</v>
      </c>
      <c r="BM70" s="22">
        <f t="shared" si="89"/>
        <v>10</v>
      </c>
      <c r="BN70" s="22">
        <f t="shared" si="89"/>
        <v>10</v>
      </c>
      <c r="BO70" s="22">
        <f t="shared" si="89"/>
        <v>10</v>
      </c>
      <c r="BP70" s="22">
        <f t="shared" si="89"/>
        <v>10</v>
      </c>
      <c r="BQ70" s="22">
        <f t="shared" si="89"/>
        <v>10</v>
      </c>
      <c r="BR70" s="22">
        <f t="shared" si="89"/>
        <v>10</v>
      </c>
      <c r="BS70" s="22">
        <f t="shared" si="89"/>
        <v>10</v>
      </c>
      <c r="BT70" s="22">
        <f t="shared" si="89"/>
        <v>10</v>
      </c>
      <c r="BU70" s="11"/>
    </row>
    <row r="71" spans="1:78" x14ac:dyDescent="0.3">
      <c r="A71" t="str">
        <f>Assumptions!A45</f>
        <v>Head of Marketing</v>
      </c>
      <c r="M71" s="119">
        <f>Assumptions!M45</f>
        <v>0</v>
      </c>
      <c r="N71" s="119">
        <f>Assumptions!N45</f>
        <v>0</v>
      </c>
      <c r="O71" s="119">
        <f>Assumptions!O45</f>
        <v>0</v>
      </c>
      <c r="P71" s="119">
        <f>Assumptions!P45</f>
        <v>0</v>
      </c>
      <c r="Q71" s="119">
        <f>Assumptions!Q45</f>
        <v>0</v>
      </c>
      <c r="R71" s="119">
        <f>Assumptions!R45</f>
        <v>0</v>
      </c>
      <c r="S71" s="119">
        <f>Assumptions!S45</f>
        <v>0</v>
      </c>
      <c r="T71" s="119">
        <f>Assumptions!T45</f>
        <v>0</v>
      </c>
      <c r="U71" s="119">
        <f>Assumptions!U45</f>
        <v>0</v>
      </c>
      <c r="V71" s="119">
        <f>Assumptions!V45</f>
        <v>0</v>
      </c>
      <c r="W71" s="119">
        <f>Assumptions!W45</f>
        <v>0</v>
      </c>
      <c r="X71" s="119">
        <f>Assumptions!X45</f>
        <v>0</v>
      </c>
      <c r="Y71" s="119">
        <f>Assumptions!Y45</f>
        <v>0</v>
      </c>
      <c r="Z71" s="119">
        <f>Assumptions!Z45</f>
        <v>0</v>
      </c>
      <c r="AA71" s="119">
        <f>Assumptions!AA45</f>
        <v>0</v>
      </c>
      <c r="AB71" s="119">
        <f>Assumptions!AB45</f>
        <v>0</v>
      </c>
      <c r="AC71" s="119">
        <f>Assumptions!AC45</f>
        <v>0</v>
      </c>
      <c r="AD71" s="119">
        <f>Assumptions!AD45</f>
        <v>0</v>
      </c>
      <c r="AE71" s="119">
        <f>Assumptions!AE45</f>
        <v>1</v>
      </c>
      <c r="AF71" s="119">
        <f>Assumptions!AF45</f>
        <v>1</v>
      </c>
      <c r="AG71" s="119">
        <f>Assumptions!AG45</f>
        <v>1</v>
      </c>
      <c r="AH71" s="119">
        <f>Assumptions!AH45</f>
        <v>1</v>
      </c>
      <c r="AI71" s="119">
        <f>Assumptions!AI45</f>
        <v>1</v>
      </c>
      <c r="AJ71" s="119">
        <f>Assumptions!AJ45</f>
        <v>1</v>
      </c>
      <c r="AK71" s="119">
        <f>Assumptions!AK45</f>
        <v>1</v>
      </c>
      <c r="AL71" s="119">
        <f>Assumptions!AL45</f>
        <v>1</v>
      </c>
      <c r="AM71" s="119">
        <f>Assumptions!AM45</f>
        <v>1</v>
      </c>
      <c r="AN71" s="119">
        <f>Assumptions!AN45</f>
        <v>1</v>
      </c>
      <c r="AO71" s="119">
        <f>Assumptions!AO45</f>
        <v>1</v>
      </c>
      <c r="AP71" s="119">
        <f>Assumptions!AP45</f>
        <v>1</v>
      </c>
      <c r="AQ71" s="119">
        <f>Assumptions!AQ45</f>
        <v>1</v>
      </c>
      <c r="AR71" s="119">
        <f>Assumptions!AR45</f>
        <v>1</v>
      </c>
      <c r="AS71" s="119">
        <f>Assumptions!AS45</f>
        <v>1</v>
      </c>
      <c r="AT71" s="119">
        <f>Assumptions!AT45</f>
        <v>1</v>
      </c>
      <c r="AU71" s="119">
        <f>Assumptions!AU45</f>
        <v>1</v>
      </c>
      <c r="AV71" s="119">
        <f>Assumptions!AV45</f>
        <v>1</v>
      </c>
      <c r="AW71" s="119">
        <f>Assumptions!AW45</f>
        <v>1</v>
      </c>
      <c r="AX71" s="119">
        <f>Assumptions!AX45</f>
        <v>1</v>
      </c>
      <c r="AY71" s="119">
        <f>Assumptions!AY45</f>
        <v>1</v>
      </c>
      <c r="AZ71" s="119">
        <f>Assumptions!AZ45</f>
        <v>1</v>
      </c>
      <c r="BA71" s="119">
        <f>Assumptions!BA45</f>
        <v>1</v>
      </c>
      <c r="BB71" s="119">
        <f>Assumptions!BB45</f>
        <v>1</v>
      </c>
      <c r="BC71" s="119">
        <f>Assumptions!BC45</f>
        <v>1</v>
      </c>
      <c r="BD71" s="119">
        <f>Assumptions!BD45</f>
        <v>1</v>
      </c>
      <c r="BE71" s="119">
        <f>Assumptions!BE45</f>
        <v>1</v>
      </c>
      <c r="BF71" s="119">
        <f>Assumptions!BF45</f>
        <v>1</v>
      </c>
      <c r="BG71" s="119">
        <f>Assumptions!BG45</f>
        <v>1</v>
      </c>
      <c r="BH71" s="119">
        <f>Assumptions!BH45</f>
        <v>1</v>
      </c>
      <c r="BI71" s="119">
        <f>Assumptions!BI45</f>
        <v>1</v>
      </c>
      <c r="BJ71" s="119">
        <f>Assumptions!BJ45</f>
        <v>1</v>
      </c>
      <c r="BK71" s="119">
        <f>Assumptions!BK45</f>
        <v>1</v>
      </c>
      <c r="BL71" s="119">
        <f>Assumptions!BL45</f>
        <v>1</v>
      </c>
      <c r="BM71" s="119">
        <f>Assumptions!BM45</f>
        <v>1</v>
      </c>
      <c r="BN71" s="119">
        <f>Assumptions!BN45</f>
        <v>1</v>
      </c>
      <c r="BO71" s="119">
        <f>Assumptions!BO45</f>
        <v>1</v>
      </c>
      <c r="BP71" s="119">
        <f>Assumptions!BP45</f>
        <v>1</v>
      </c>
      <c r="BQ71" s="119">
        <f>Assumptions!BQ45</f>
        <v>1</v>
      </c>
      <c r="BR71" s="119">
        <f>Assumptions!BR45</f>
        <v>1</v>
      </c>
      <c r="BS71" s="119">
        <f>Assumptions!BS45</f>
        <v>1</v>
      </c>
      <c r="BT71" s="119">
        <f>Assumptions!BT45</f>
        <v>1</v>
      </c>
      <c r="BU71" s="11"/>
    </row>
    <row r="72" spans="1:78" x14ac:dyDescent="0.3">
      <c r="A72" t="str">
        <f>Assumptions!A46</f>
        <v>Growth</v>
      </c>
      <c r="M72" s="119">
        <f>Assumptions!M46</f>
        <v>1</v>
      </c>
      <c r="N72" s="119">
        <f>Assumptions!N46</f>
        <v>1</v>
      </c>
      <c r="O72" s="119">
        <f>Assumptions!O46</f>
        <v>1</v>
      </c>
      <c r="P72" s="119">
        <f>Assumptions!P46</f>
        <v>1</v>
      </c>
      <c r="Q72" s="119">
        <f>Assumptions!Q46</f>
        <v>1</v>
      </c>
      <c r="R72" s="119">
        <f>Assumptions!R46</f>
        <v>1</v>
      </c>
      <c r="S72" s="119">
        <f>Assumptions!S46</f>
        <v>1</v>
      </c>
      <c r="T72" s="119">
        <f>Assumptions!T46</f>
        <v>1</v>
      </c>
      <c r="U72" s="119">
        <f>Assumptions!U46</f>
        <v>1</v>
      </c>
      <c r="V72" s="119">
        <f>Assumptions!V46</f>
        <v>1</v>
      </c>
      <c r="W72" s="119">
        <f>Assumptions!W46</f>
        <v>1</v>
      </c>
      <c r="X72" s="119">
        <f>Assumptions!X46</f>
        <v>1</v>
      </c>
      <c r="Y72" s="119">
        <f>Assumptions!Y46</f>
        <v>2</v>
      </c>
      <c r="Z72" s="119">
        <f>Assumptions!Z46</f>
        <v>2</v>
      </c>
      <c r="AA72" s="119">
        <f>Assumptions!AA46</f>
        <v>2</v>
      </c>
      <c r="AB72" s="119">
        <f>Assumptions!AB46</f>
        <v>2</v>
      </c>
      <c r="AC72" s="119">
        <f>Assumptions!AC46</f>
        <v>2</v>
      </c>
      <c r="AD72" s="119">
        <f>Assumptions!AD46</f>
        <v>2</v>
      </c>
      <c r="AE72" s="119">
        <f>Assumptions!AE46</f>
        <v>2</v>
      </c>
      <c r="AF72" s="119">
        <f>Assumptions!AF46</f>
        <v>2</v>
      </c>
      <c r="AG72" s="119">
        <f>Assumptions!AG46</f>
        <v>2</v>
      </c>
      <c r="AH72" s="119">
        <f>Assumptions!AH46</f>
        <v>2</v>
      </c>
      <c r="AI72" s="119">
        <f>Assumptions!AI46</f>
        <v>2</v>
      </c>
      <c r="AJ72" s="119">
        <f>Assumptions!AJ46</f>
        <v>2</v>
      </c>
      <c r="AK72" s="119">
        <f>Assumptions!AK46</f>
        <v>4</v>
      </c>
      <c r="AL72" s="119">
        <f>Assumptions!AL46</f>
        <v>4</v>
      </c>
      <c r="AM72" s="119">
        <f>Assumptions!AM46</f>
        <v>4</v>
      </c>
      <c r="AN72" s="119">
        <f>Assumptions!AN46</f>
        <v>4</v>
      </c>
      <c r="AO72" s="119">
        <f>Assumptions!AO46</f>
        <v>4</v>
      </c>
      <c r="AP72" s="119">
        <f>Assumptions!AP46</f>
        <v>4</v>
      </c>
      <c r="AQ72" s="119">
        <f>Assumptions!AQ46</f>
        <v>4</v>
      </c>
      <c r="AR72" s="119">
        <f>Assumptions!AR46</f>
        <v>4</v>
      </c>
      <c r="AS72" s="119">
        <f>Assumptions!AS46</f>
        <v>4</v>
      </c>
      <c r="AT72" s="119">
        <f>Assumptions!AT46</f>
        <v>4</v>
      </c>
      <c r="AU72" s="119">
        <f>Assumptions!AU46</f>
        <v>4</v>
      </c>
      <c r="AV72" s="119">
        <f>Assumptions!AV46</f>
        <v>4</v>
      </c>
      <c r="AW72" s="119">
        <f>Assumptions!AW46</f>
        <v>4</v>
      </c>
      <c r="AX72" s="119">
        <f>Assumptions!AX46</f>
        <v>4</v>
      </c>
      <c r="AY72" s="119">
        <f>Assumptions!AY46</f>
        <v>4</v>
      </c>
      <c r="AZ72" s="119">
        <f>Assumptions!AZ46</f>
        <v>4</v>
      </c>
      <c r="BA72" s="119">
        <f>Assumptions!BA46</f>
        <v>4</v>
      </c>
      <c r="BB72" s="119">
        <f>Assumptions!BB46</f>
        <v>4</v>
      </c>
      <c r="BC72" s="119">
        <f>Assumptions!BC46</f>
        <v>4</v>
      </c>
      <c r="BD72" s="119">
        <f>Assumptions!BD46</f>
        <v>4</v>
      </c>
      <c r="BE72" s="119">
        <f>Assumptions!BE46</f>
        <v>4</v>
      </c>
      <c r="BF72" s="119">
        <f>Assumptions!BF46</f>
        <v>4</v>
      </c>
      <c r="BG72" s="119">
        <f>Assumptions!BG46</f>
        <v>4</v>
      </c>
      <c r="BH72" s="119">
        <f>Assumptions!BH46</f>
        <v>4</v>
      </c>
      <c r="BI72" s="119">
        <f>Assumptions!BI46</f>
        <v>4</v>
      </c>
      <c r="BJ72" s="119">
        <f>Assumptions!BJ46</f>
        <v>4</v>
      </c>
      <c r="BK72" s="119">
        <f>Assumptions!BK46</f>
        <v>4</v>
      </c>
      <c r="BL72" s="119">
        <f>Assumptions!BL46</f>
        <v>4</v>
      </c>
      <c r="BM72" s="119">
        <f>Assumptions!BM46</f>
        <v>4</v>
      </c>
      <c r="BN72" s="119">
        <f>Assumptions!BN46</f>
        <v>4</v>
      </c>
      <c r="BO72" s="119">
        <f>Assumptions!BO46</f>
        <v>4</v>
      </c>
      <c r="BP72" s="119">
        <f>Assumptions!BP46</f>
        <v>4</v>
      </c>
      <c r="BQ72" s="119">
        <f>Assumptions!BQ46</f>
        <v>4</v>
      </c>
      <c r="BR72" s="119">
        <f>Assumptions!BR46</f>
        <v>4</v>
      </c>
      <c r="BS72" s="119">
        <f>Assumptions!BS46</f>
        <v>4</v>
      </c>
      <c r="BT72" s="119">
        <f>Assumptions!BT46</f>
        <v>4</v>
      </c>
      <c r="BU72" s="11"/>
    </row>
    <row r="73" spans="1:78" x14ac:dyDescent="0.3">
      <c r="A73" t="str">
        <f>Assumptions!A47</f>
        <v>Branding</v>
      </c>
      <c r="M73" s="119">
        <f>Assumptions!M47</f>
        <v>0</v>
      </c>
      <c r="N73" s="119">
        <f>Assumptions!N47</f>
        <v>0</v>
      </c>
      <c r="O73" s="119">
        <f>Assumptions!O47</f>
        <v>0</v>
      </c>
      <c r="P73" s="119">
        <f>Assumptions!P47</f>
        <v>0</v>
      </c>
      <c r="Q73" s="119">
        <f>Assumptions!Q47</f>
        <v>0</v>
      </c>
      <c r="R73" s="119">
        <f>Assumptions!R47</f>
        <v>0</v>
      </c>
      <c r="S73" s="119">
        <f>Assumptions!S47</f>
        <v>0</v>
      </c>
      <c r="T73" s="119">
        <f>Assumptions!T47</f>
        <v>0</v>
      </c>
      <c r="U73" s="119">
        <f>Assumptions!U47</f>
        <v>0</v>
      </c>
      <c r="V73" s="119">
        <f>Assumptions!V47</f>
        <v>0</v>
      </c>
      <c r="W73" s="119">
        <f>Assumptions!W47</f>
        <v>0</v>
      </c>
      <c r="X73" s="119">
        <f>Assumptions!X47</f>
        <v>0</v>
      </c>
      <c r="Y73" s="119">
        <f>Assumptions!Y47</f>
        <v>0</v>
      </c>
      <c r="Z73" s="119">
        <f>Assumptions!Z47</f>
        <v>0</v>
      </c>
      <c r="AA73" s="119">
        <f>Assumptions!AA47</f>
        <v>0</v>
      </c>
      <c r="AB73" s="119">
        <f>Assumptions!AB47</f>
        <v>0</v>
      </c>
      <c r="AC73" s="119">
        <f>Assumptions!AC47</f>
        <v>0</v>
      </c>
      <c r="AD73" s="119">
        <f>Assumptions!AD47</f>
        <v>0</v>
      </c>
      <c r="AE73" s="119">
        <f>Assumptions!AE47</f>
        <v>1</v>
      </c>
      <c r="AF73" s="119">
        <f>Assumptions!AF47</f>
        <v>1</v>
      </c>
      <c r="AG73" s="119">
        <f>Assumptions!AG47</f>
        <v>1</v>
      </c>
      <c r="AH73" s="119">
        <f>Assumptions!AH47</f>
        <v>1</v>
      </c>
      <c r="AI73" s="119">
        <f>Assumptions!AI47</f>
        <v>1</v>
      </c>
      <c r="AJ73" s="119">
        <f>Assumptions!AJ47</f>
        <v>1</v>
      </c>
      <c r="AK73" s="119">
        <f>Assumptions!AK47</f>
        <v>2</v>
      </c>
      <c r="AL73" s="119">
        <f>Assumptions!AL47</f>
        <v>2</v>
      </c>
      <c r="AM73" s="119">
        <f>Assumptions!AM47</f>
        <v>2</v>
      </c>
      <c r="AN73" s="119">
        <f>Assumptions!AN47</f>
        <v>2</v>
      </c>
      <c r="AO73" s="119">
        <f>Assumptions!AO47</f>
        <v>2</v>
      </c>
      <c r="AP73" s="119">
        <f>Assumptions!AP47</f>
        <v>2</v>
      </c>
      <c r="AQ73" s="119">
        <f>Assumptions!AQ47</f>
        <v>2</v>
      </c>
      <c r="AR73" s="119">
        <f>Assumptions!AR47</f>
        <v>2</v>
      </c>
      <c r="AS73" s="119">
        <f>Assumptions!AS47</f>
        <v>2</v>
      </c>
      <c r="AT73" s="119">
        <f>Assumptions!AT47</f>
        <v>2</v>
      </c>
      <c r="AU73" s="119">
        <f>Assumptions!AU47</f>
        <v>2</v>
      </c>
      <c r="AV73" s="119">
        <f>Assumptions!AV47</f>
        <v>2</v>
      </c>
      <c r="AW73" s="119">
        <f>Assumptions!AW47</f>
        <v>2</v>
      </c>
      <c r="AX73" s="119">
        <f>Assumptions!AX47</f>
        <v>2</v>
      </c>
      <c r="AY73" s="119">
        <f>Assumptions!AY47</f>
        <v>2</v>
      </c>
      <c r="AZ73" s="119">
        <f>Assumptions!AZ47</f>
        <v>2</v>
      </c>
      <c r="BA73" s="119">
        <f>Assumptions!BA47</f>
        <v>2</v>
      </c>
      <c r="BB73" s="119">
        <f>Assumptions!BB47</f>
        <v>2</v>
      </c>
      <c r="BC73" s="119">
        <f>Assumptions!BC47</f>
        <v>2</v>
      </c>
      <c r="BD73" s="119">
        <f>Assumptions!BD47</f>
        <v>2</v>
      </c>
      <c r="BE73" s="119">
        <f>Assumptions!BE47</f>
        <v>2</v>
      </c>
      <c r="BF73" s="119">
        <f>Assumptions!BF47</f>
        <v>2</v>
      </c>
      <c r="BG73" s="119">
        <f>Assumptions!BG47</f>
        <v>2</v>
      </c>
      <c r="BH73" s="119">
        <f>Assumptions!BH47</f>
        <v>2</v>
      </c>
      <c r="BI73" s="119">
        <f>Assumptions!BI47</f>
        <v>2</v>
      </c>
      <c r="BJ73" s="119">
        <f>Assumptions!BJ47</f>
        <v>2</v>
      </c>
      <c r="BK73" s="119">
        <f>Assumptions!BK47</f>
        <v>2</v>
      </c>
      <c r="BL73" s="119">
        <f>Assumptions!BL47</f>
        <v>2</v>
      </c>
      <c r="BM73" s="119">
        <f>Assumptions!BM47</f>
        <v>2</v>
      </c>
      <c r="BN73" s="119">
        <f>Assumptions!BN47</f>
        <v>2</v>
      </c>
      <c r="BO73" s="119">
        <f>Assumptions!BO47</f>
        <v>2</v>
      </c>
      <c r="BP73" s="119">
        <f>Assumptions!BP47</f>
        <v>2</v>
      </c>
      <c r="BQ73" s="119">
        <f>Assumptions!BQ47</f>
        <v>2</v>
      </c>
      <c r="BR73" s="119">
        <f>Assumptions!BR47</f>
        <v>2</v>
      </c>
      <c r="BS73" s="119">
        <f>Assumptions!BS47</f>
        <v>2</v>
      </c>
      <c r="BT73" s="119">
        <f>Assumptions!BT47</f>
        <v>2</v>
      </c>
      <c r="BU73" s="11"/>
    </row>
    <row r="74" spans="1:78" x14ac:dyDescent="0.3">
      <c r="A74" t="str">
        <f>Assumptions!A48</f>
        <v>Content &amp; Creative</v>
      </c>
      <c r="M74" s="119">
        <f>Assumptions!M48</f>
        <v>1</v>
      </c>
      <c r="N74" s="119">
        <f>Assumptions!N48</f>
        <v>1</v>
      </c>
      <c r="O74" s="119">
        <f>Assumptions!O48</f>
        <v>1</v>
      </c>
      <c r="P74" s="119">
        <f>Assumptions!P48</f>
        <v>1</v>
      </c>
      <c r="Q74" s="119">
        <f>Assumptions!Q48</f>
        <v>1</v>
      </c>
      <c r="R74" s="119">
        <f>Assumptions!R48</f>
        <v>1</v>
      </c>
      <c r="S74" s="119">
        <f>Assumptions!S48</f>
        <v>1</v>
      </c>
      <c r="T74" s="119">
        <f>Assumptions!T48</f>
        <v>1</v>
      </c>
      <c r="U74" s="119">
        <f>Assumptions!U48</f>
        <v>1</v>
      </c>
      <c r="V74" s="119">
        <f>Assumptions!V48</f>
        <v>1</v>
      </c>
      <c r="W74" s="119">
        <f>Assumptions!W48</f>
        <v>1</v>
      </c>
      <c r="X74" s="119">
        <f>Assumptions!X48</f>
        <v>1</v>
      </c>
      <c r="Y74" s="119">
        <f>Assumptions!Y48</f>
        <v>1</v>
      </c>
      <c r="Z74" s="119">
        <f>Assumptions!Z48</f>
        <v>1</v>
      </c>
      <c r="AA74" s="119">
        <f>Assumptions!AA48</f>
        <v>1</v>
      </c>
      <c r="AB74" s="119">
        <f>Assumptions!AB48</f>
        <v>1</v>
      </c>
      <c r="AC74" s="119">
        <f>Assumptions!AC48</f>
        <v>1</v>
      </c>
      <c r="AD74" s="119">
        <f>Assumptions!AD48</f>
        <v>1</v>
      </c>
      <c r="AE74" s="119">
        <f>Assumptions!AE48</f>
        <v>2</v>
      </c>
      <c r="AF74" s="119">
        <f>Assumptions!AF48</f>
        <v>2</v>
      </c>
      <c r="AG74" s="119">
        <f>Assumptions!AG48</f>
        <v>2</v>
      </c>
      <c r="AH74" s="119">
        <f>Assumptions!AH48</f>
        <v>2</v>
      </c>
      <c r="AI74" s="119">
        <f>Assumptions!AI48</f>
        <v>2</v>
      </c>
      <c r="AJ74" s="119">
        <f>Assumptions!AJ48</f>
        <v>2</v>
      </c>
      <c r="AK74" s="119">
        <f>Assumptions!AK48</f>
        <v>3</v>
      </c>
      <c r="AL74" s="119">
        <f>Assumptions!AL48</f>
        <v>3</v>
      </c>
      <c r="AM74" s="119">
        <f>Assumptions!AM48</f>
        <v>3</v>
      </c>
      <c r="AN74" s="119">
        <f>Assumptions!AN48</f>
        <v>3</v>
      </c>
      <c r="AO74" s="119">
        <f>Assumptions!AO48</f>
        <v>3</v>
      </c>
      <c r="AP74" s="119">
        <f>Assumptions!AP48</f>
        <v>3</v>
      </c>
      <c r="AQ74" s="119">
        <f>Assumptions!AQ48</f>
        <v>3</v>
      </c>
      <c r="AR74" s="119">
        <f>Assumptions!AR48</f>
        <v>3</v>
      </c>
      <c r="AS74" s="119">
        <f>Assumptions!AS48</f>
        <v>3</v>
      </c>
      <c r="AT74" s="119">
        <f>Assumptions!AT48</f>
        <v>3</v>
      </c>
      <c r="AU74" s="119">
        <f>Assumptions!AU48</f>
        <v>3</v>
      </c>
      <c r="AV74" s="119">
        <f>Assumptions!AV48</f>
        <v>3</v>
      </c>
      <c r="AW74" s="119">
        <f>Assumptions!AW48</f>
        <v>3</v>
      </c>
      <c r="AX74" s="119">
        <f>Assumptions!AX48</f>
        <v>3</v>
      </c>
      <c r="AY74" s="119">
        <f>Assumptions!AY48</f>
        <v>3</v>
      </c>
      <c r="AZ74" s="119">
        <f>Assumptions!AZ48</f>
        <v>3</v>
      </c>
      <c r="BA74" s="119">
        <f>Assumptions!BA48</f>
        <v>3</v>
      </c>
      <c r="BB74" s="119">
        <f>Assumptions!BB48</f>
        <v>3</v>
      </c>
      <c r="BC74" s="119">
        <f>Assumptions!BC48</f>
        <v>3</v>
      </c>
      <c r="BD74" s="119">
        <f>Assumptions!BD48</f>
        <v>3</v>
      </c>
      <c r="BE74" s="119">
        <f>Assumptions!BE48</f>
        <v>3</v>
      </c>
      <c r="BF74" s="119">
        <f>Assumptions!BF48</f>
        <v>3</v>
      </c>
      <c r="BG74" s="119">
        <f>Assumptions!BG48</f>
        <v>3</v>
      </c>
      <c r="BH74" s="119">
        <f>Assumptions!BH48</f>
        <v>3</v>
      </c>
      <c r="BI74" s="119">
        <f>Assumptions!BI48</f>
        <v>3</v>
      </c>
      <c r="BJ74" s="119">
        <f>Assumptions!BJ48</f>
        <v>3</v>
      </c>
      <c r="BK74" s="119">
        <f>Assumptions!BK48</f>
        <v>3</v>
      </c>
      <c r="BL74" s="119">
        <f>Assumptions!BL48</f>
        <v>3</v>
      </c>
      <c r="BM74" s="119">
        <f>Assumptions!BM48</f>
        <v>3</v>
      </c>
      <c r="BN74" s="119">
        <f>Assumptions!BN48</f>
        <v>3</v>
      </c>
      <c r="BO74" s="119">
        <f>Assumptions!BO48</f>
        <v>3</v>
      </c>
      <c r="BP74" s="119">
        <f>Assumptions!BP48</f>
        <v>3</v>
      </c>
      <c r="BQ74" s="119">
        <f>Assumptions!BQ48</f>
        <v>3</v>
      </c>
      <c r="BR74" s="119">
        <f>Assumptions!BR48</f>
        <v>3</v>
      </c>
      <c r="BS74" s="119">
        <f>Assumptions!BS48</f>
        <v>3</v>
      </c>
      <c r="BT74" s="119">
        <f>Assumptions!BT48</f>
        <v>3</v>
      </c>
      <c r="BU74" s="11"/>
    </row>
    <row r="75" spans="1:78" x14ac:dyDescent="0.3">
      <c r="A75" s="29" t="s">
        <v>91</v>
      </c>
      <c r="M75" s="22">
        <f>SUM(M76:M78)</f>
        <v>1</v>
      </c>
      <c r="N75" s="22">
        <f t="shared" ref="N75:BT75" si="90">SUM(N76:N78)</f>
        <v>1</v>
      </c>
      <c r="O75" s="22">
        <f t="shared" si="90"/>
        <v>1</v>
      </c>
      <c r="P75" s="22">
        <f t="shared" si="90"/>
        <v>1</v>
      </c>
      <c r="Q75" s="22">
        <f t="shared" si="90"/>
        <v>1</v>
      </c>
      <c r="R75" s="22">
        <f t="shared" si="90"/>
        <v>1</v>
      </c>
      <c r="S75" s="22">
        <f t="shared" si="90"/>
        <v>1</v>
      </c>
      <c r="T75" s="22">
        <f t="shared" si="90"/>
        <v>1</v>
      </c>
      <c r="U75" s="22">
        <f t="shared" si="90"/>
        <v>1</v>
      </c>
      <c r="V75" s="22">
        <f t="shared" si="90"/>
        <v>1</v>
      </c>
      <c r="W75" s="22">
        <f t="shared" si="90"/>
        <v>1</v>
      </c>
      <c r="X75" s="22">
        <f t="shared" si="90"/>
        <v>1</v>
      </c>
      <c r="Y75" s="22">
        <f t="shared" si="90"/>
        <v>3</v>
      </c>
      <c r="Z75" s="22">
        <f t="shared" si="90"/>
        <v>3</v>
      </c>
      <c r="AA75" s="22">
        <f t="shared" si="90"/>
        <v>3</v>
      </c>
      <c r="AB75" s="22">
        <f t="shared" si="90"/>
        <v>3</v>
      </c>
      <c r="AC75" s="22">
        <f t="shared" si="90"/>
        <v>3</v>
      </c>
      <c r="AD75" s="22">
        <f t="shared" si="90"/>
        <v>3</v>
      </c>
      <c r="AE75" s="22">
        <f t="shared" si="90"/>
        <v>3</v>
      </c>
      <c r="AF75" s="22">
        <f t="shared" si="90"/>
        <v>3</v>
      </c>
      <c r="AG75" s="22">
        <f t="shared" si="90"/>
        <v>3</v>
      </c>
      <c r="AH75" s="22">
        <f t="shared" si="90"/>
        <v>3</v>
      </c>
      <c r="AI75" s="22">
        <f t="shared" si="90"/>
        <v>3</v>
      </c>
      <c r="AJ75" s="22">
        <f t="shared" si="90"/>
        <v>3</v>
      </c>
      <c r="AK75" s="22">
        <f t="shared" si="90"/>
        <v>5</v>
      </c>
      <c r="AL75" s="22">
        <f t="shared" si="90"/>
        <v>5</v>
      </c>
      <c r="AM75" s="22">
        <f t="shared" si="90"/>
        <v>5</v>
      </c>
      <c r="AN75" s="22">
        <f t="shared" si="90"/>
        <v>5</v>
      </c>
      <c r="AO75" s="22">
        <f t="shared" si="90"/>
        <v>5</v>
      </c>
      <c r="AP75" s="22">
        <f t="shared" si="90"/>
        <v>5</v>
      </c>
      <c r="AQ75" s="22">
        <f t="shared" si="90"/>
        <v>5</v>
      </c>
      <c r="AR75" s="22">
        <f t="shared" si="90"/>
        <v>5</v>
      </c>
      <c r="AS75" s="22">
        <f t="shared" si="90"/>
        <v>5</v>
      </c>
      <c r="AT75" s="22">
        <f t="shared" si="90"/>
        <v>5</v>
      </c>
      <c r="AU75" s="22">
        <f t="shared" si="90"/>
        <v>5</v>
      </c>
      <c r="AV75" s="22">
        <f t="shared" si="90"/>
        <v>5</v>
      </c>
      <c r="AW75" s="22">
        <f t="shared" si="90"/>
        <v>5</v>
      </c>
      <c r="AX75" s="22">
        <f t="shared" si="90"/>
        <v>5</v>
      </c>
      <c r="AY75" s="22">
        <f t="shared" si="90"/>
        <v>5</v>
      </c>
      <c r="AZ75" s="22">
        <f t="shared" si="90"/>
        <v>5</v>
      </c>
      <c r="BA75" s="22">
        <f t="shared" si="90"/>
        <v>5</v>
      </c>
      <c r="BB75" s="22">
        <f t="shared" si="90"/>
        <v>5</v>
      </c>
      <c r="BC75" s="22">
        <f t="shared" si="90"/>
        <v>5</v>
      </c>
      <c r="BD75" s="22">
        <f t="shared" si="90"/>
        <v>5</v>
      </c>
      <c r="BE75" s="22">
        <f t="shared" si="90"/>
        <v>5</v>
      </c>
      <c r="BF75" s="22">
        <f t="shared" si="90"/>
        <v>5</v>
      </c>
      <c r="BG75" s="22">
        <f t="shared" si="90"/>
        <v>5</v>
      </c>
      <c r="BH75" s="22">
        <f t="shared" si="90"/>
        <v>5</v>
      </c>
      <c r="BI75" s="22">
        <f t="shared" si="90"/>
        <v>5</v>
      </c>
      <c r="BJ75" s="22">
        <f t="shared" si="90"/>
        <v>5</v>
      </c>
      <c r="BK75" s="22">
        <f t="shared" si="90"/>
        <v>5</v>
      </c>
      <c r="BL75" s="22">
        <f t="shared" si="90"/>
        <v>5</v>
      </c>
      <c r="BM75" s="22">
        <f t="shared" si="90"/>
        <v>5</v>
      </c>
      <c r="BN75" s="22">
        <f t="shared" si="90"/>
        <v>5</v>
      </c>
      <c r="BO75" s="22">
        <f t="shared" si="90"/>
        <v>5</v>
      </c>
      <c r="BP75" s="22">
        <f t="shared" si="90"/>
        <v>5</v>
      </c>
      <c r="BQ75" s="22">
        <f t="shared" si="90"/>
        <v>5</v>
      </c>
      <c r="BR75" s="22">
        <f t="shared" si="90"/>
        <v>5</v>
      </c>
      <c r="BS75" s="22">
        <f t="shared" si="90"/>
        <v>5</v>
      </c>
      <c r="BT75" s="22">
        <f t="shared" si="90"/>
        <v>5</v>
      </c>
      <c r="BU75" s="11"/>
    </row>
    <row r="76" spans="1:78" x14ac:dyDescent="0.3">
      <c r="A76" t="str">
        <f>Assumptions!A53</f>
        <v>Account &amp; Finance</v>
      </c>
      <c r="M76" s="119">
        <f>Assumptions!M53</f>
        <v>1</v>
      </c>
      <c r="N76" s="119">
        <f>Assumptions!N53</f>
        <v>1</v>
      </c>
      <c r="O76" s="119">
        <f>Assumptions!O53</f>
        <v>1</v>
      </c>
      <c r="P76" s="119">
        <f>Assumptions!P53</f>
        <v>1</v>
      </c>
      <c r="Q76" s="119">
        <f>Assumptions!Q53</f>
        <v>1</v>
      </c>
      <c r="R76" s="119">
        <f>Assumptions!R53</f>
        <v>1</v>
      </c>
      <c r="S76" s="119">
        <f>Assumptions!S53</f>
        <v>1</v>
      </c>
      <c r="T76" s="119">
        <f>Assumptions!T53</f>
        <v>1</v>
      </c>
      <c r="U76" s="119">
        <f>Assumptions!U53</f>
        <v>1</v>
      </c>
      <c r="V76" s="119">
        <f>Assumptions!V53</f>
        <v>1</v>
      </c>
      <c r="W76" s="119">
        <f>Assumptions!W53</f>
        <v>1</v>
      </c>
      <c r="X76" s="119">
        <f>Assumptions!X53</f>
        <v>1</v>
      </c>
      <c r="Y76" s="119">
        <f>Assumptions!Y53</f>
        <v>2</v>
      </c>
      <c r="Z76" s="119">
        <f>Assumptions!Z53</f>
        <v>2</v>
      </c>
      <c r="AA76" s="119">
        <f>Assumptions!AA53</f>
        <v>2</v>
      </c>
      <c r="AB76" s="119">
        <f>Assumptions!AB53</f>
        <v>2</v>
      </c>
      <c r="AC76" s="119">
        <f>Assumptions!AC53</f>
        <v>2</v>
      </c>
      <c r="AD76" s="119">
        <f>Assumptions!AD53</f>
        <v>2</v>
      </c>
      <c r="AE76" s="119">
        <f>Assumptions!AE53</f>
        <v>2</v>
      </c>
      <c r="AF76" s="119">
        <f>Assumptions!AF53</f>
        <v>2</v>
      </c>
      <c r="AG76" s="119">
        <f>Assumptions!AG53</f>
        <v>2</v>
      </c>
      <c r="AH76" s="119">
        <f>Assumptions!AH53</f>
        <v>2</v>
      </c>
      <c r="AI76" s="119">
        <f>Assumptions!AI53</f>
        <v>2</v>
      </c>
      <c r="AJ76" s="119">
        <f>Assumptions!AJ53</f>
        <v>2</v>
      </c>
      <c r="AK76" s="119">
        <f>Assumptions!AK53</f>
        <v>2</v>
      </c>
      <c r="AL76" s="119">
        <f>Assumptions!AL53</f>
        <v>2</v>
      </c>
      <c r="AM76" s="119">
        <f>Assumptions!AM53</f>
        <v>2</v>
      </c>
      <c r="AN76" s="119">
        <f>Assumptions!AN53</f>
        <v>2</v>
      </c>
      <c r="AO76" s="119">
        <f>Assumptions!AO53</f>
        <v>2</v>
      </c>
      <c r="AP76" s="119">
        <f>Assumptions!AP53</f>
        <v>2</v>
      </c>
      <c r="AQ76" s="119">
        <f>Assumptions!AQ53</f>
        <v>2</v>
      </c>
      <c r="AR76" s="119">
        <f>Assumptions!AR53</f>
        <v>2</v>
      </c>
      <c r="AS76" s="119">
        <f>Assumptions!AS53</f>
        <v>2</v>
      </c>
      <c r="AT76" s="119">
        <f>Assumptions!AT53</f>
        <v>2</v>
      </c>
      <c r="AU76" s="119">
        <f>Assumptions!AU53</f>
        <v>2</v>
      </c>
      <c r="AV76" s="119">
        <f>Assumptions!AV53</f>
        <v>2</v>
      </c>
      <c r="AW76" s="119">
        <f>Assumptions!AW53</f>
        <v>2</v>
      </c>
      <c r="AX76" s="119">
        <f>Assumptions!AX53</f>
        <v>2</v>
      </c>
      <c r="AY76" s="119">
        <f>Assumptions!AY53</f>
        <v>2</v>
      </c>
      <c r="AZ76" s="119">
        <f>Assumptions!AZ53</f>
        <v>2</v>
      </c>
      <c r="BA76" s="119">
        <f>Assumptions!BA53</f>
        <v>2</v>
      </c>
      <c r="BB76" s="119">
        <f>Assumptions!BB53</f>
        <v>2</v>
      </c>
      <c r="BC76" s="119">
        <f>Assumptions!BC53</f>
        <v>2</v>
      </c>
      <c r="BD76" s="119">
        <f>Assumptions!BD53</f>
        <v>2</v>
      </c>
      <c r="BE76" s="119">
        <f>Assumptions!BE53</f>
        <v>2</v>
      </c>
      <c r="BF76" s="119">
        <f>Assumptions!BF53</f>
        <v>2</v>
      </c>
      <c r="BG76" s="119">
        <f>Assumptions!BG53</f>
        <v>2</v>
      </c>
      <c r="BH76" s="119">
        <f>Assumptions!BH53</f>
        <v>2</v>
      </c>
      <c r="BI76" s="119">
        <f>Assumptions!BI53</f>
        <v>2</v>
      </c>
      <c r="BJ76" s="119">
        <f>Assumptions!BJ53</f>
        <v>2</v>
      </c>
      <c r="BK76" s="119">
        <f>Assumptions!BK53</f>
        <v>2</v>
      </c>
      <c r="BL76" s="119">
        <f>Assumptions!BL53</f>
        <v>2</v>
      </c>
      <c r="BM76" s="119">
        <f>Assumptions!BM53</f>
        <v>2</v>
      </c>
      <c r="BN76" s="119">
        <f>Assumptions!BN53</f>
        <v>2</v>
      </c>
      <c r="BO76" s="119">
        <f>Assumptions!BO53</f>
        <v>2</v>
      </c>
      <c r="BP76" s="119">
        <f>Assumptions!BP53</f>
        <v>2</v>
      </c>
      <c r="BQ76" s="119">
        <f>Assumptions!BQ53</f>
        <v>2</v>
      </c>
      <c r="BR76" s="119">
        <f>Assumptions!BR53</f>
        <v>2</v>
      </c>
      <c r="BS76" s="119">
        <f>Assumptions!BS53</f>
        <v>2</v>
      </c>
      <c r="BT76" s="119">
        <f>Assumptions!BT53</f>
        <v>2</v>
      </c>
      <c r="BU76" s="11"/>
    </row>
    <row r="77" spans="1:78" x14ac:dyDescent="0.3">
      <c r="A77" t="str">
        <f>Assumptions!A54</f>
        <v>Legal</v>
      </c>
      <c r="M77" s="119">
        <f>Assumptions!M54</f>
        <v>0</v>
      </c>
      <c r="N77" s="119">
        <f>Assumptions!N54</f>
        <v>0</v>
      </c>
      <c r="O77" s="119">
        <f>Assumptions!O54</f>
        <v>0</v>
      </c>
      <c r="P77" s="119">
        <f>Assumptions!P54</f>
        <v>0</v>
      </c>
      <c r="Q77" s="119">
        <f>Assumptions!Q54</f>
        <v>0</v>
      </c>
      <c r="R77" s="119">
        <f>Assumptions!R54</f>
        <v>0</v>
      </c>
      <c r="S77" s="119">
        <f>Assumptions!S54</f>
        <v>0</v>
      </c>
      <c r="T77" s="119">
        <f>Assumptions!T54</f>
        <v>0</v>
      </c>
      <c r="U77" s="119">
        <f>Assumptions!U54</f>
        <v>0</v>
      </c>
      <c r="V77" s="119">
        <f>Assumptions!V54</f>
        <v>0</v>
      </c>
      <c r="W77" s="119">
        <f>Assumptions!W54</f>
        <v>0</v>
      </c>
      <c r="X77" s="119">
        <f>Assumptions!X54</f>
        <v>0</v>
      </c>
      <c r="Y77" s="119">
        <f>Assumptions!Y54</f>
        <v>0</v>
      </c>
      <c r="Z77" s="119">
        <f>Assumptions!Z54</f>
        <v>0</v>
      </c>
      <c r="AA77" s="119">
        <f>Assumptions!AA54</f>
        <v>0</v>
      </c>
      <c r="AB77" s="119">
        <f>Assumptions!AB54</f>
        <v>0</v>
      </c>
      <c r="AC77" s="119">
        <f>Assumptions!AC54</f>
        <v>0</v>
      </c>
      <c r="AD77" s="119">
        <f>Assumptions!AD54</f>
        <v>0</v>
      </c>
      <c r="AE77" s="119">
        <f>Assumptions!AE54</f>
        <v>0</v>
      </c>
      <c r="AF77" s="119">
        <f>Assumptions!AF54</f>
        <v>0</v>
      </c>
      <c r="AG77" s="119">
        <f>Assumptions!AG54</f>
        <v>0</v>
      </c>
      <c r="AH77" s="119">
        <f>Assumptions!AH54</f>
        <v>0</v>
      </c>
      <c r="AI77" s="119">
        <f>Assumptions!AI54</f>
        <v>0</v>
      </c>
      <c r="AJ77" s="119">
        <f>Assumptions!AJ54</f>
        <v>0</v>
      </c>
      <c r="AK77" s="119">
        <f>Assumptions!AK54</f>
        <v>1</v>
      </c>
      <c r="AL77" s="119">
        <f>Assumptions!AL54</f>
        <v>1</v>
      </c>
      <c r="AM77" s="119">
        <f>Assumptions!AM54</f>
        <v>1</v>
      </c>
      <c r="AN77" s="119">
        <f>Assumptions!AN54</f>
        <v>1</v>
      </c>
      <c r="AO77" s="119">
        <f>Assumptions!AO54</f>
        <v>1</v>
      </c>
      <c r="AP77" s="119">
        <f>Assumptions!AP54</f>
        <v>1</v>
      </c>
      <c r="AQ77" s="119">
        <f>Assumptions!AQ54</f>
        <v>1</v>
      </c>
      <c r="AR77" s="119">
        <f>Assumptions!AR54</f>
        <v>1</v>
      </c>
      <c r="AS77" s="119">
        <f>Assumptions!AS54</f>
        <v>1</v>
      </c>
      <c r="AT77" s="119">
        <f>Assumptions!AT54</f>
        <v>1</v>
      </c>
      <c r="AU77" s="119">
        <f>Assumptions!AU54</f>
        <v>1</v>
      </c>
      <c r="AV77" s="119">
        <f>Assumptions!AV54</f>
        <v>1</v>
      </c>
      <c r="AW77" s="119">
        <f>Assumptions!AW54</f>
        <v>1</v>
      </c>
      <c r="AX77" s="119">
        <f>Assumptions!AX54</f>
        <v>1</v>
      </c>
      <c r="AY77" s="119">
        <f>Assumptions!AY54</f>
        <v>1</v>
      </c>
      <c r="AZ77" s="119">
        <f>Assumptions!AZ54</f>
        <v>1</v>
      </c>
      <c r="BA77" s="119">
        <f>Assumptions!BA54</f>
        <v>1</v>
      </c>
      <c r="BB77" s="119">
        <f>Assumptions!BB54</f>
        <v>1</v>
      </c>
      <c r="BC77" s="119">
        <f>Assumptions!BC54</f>
        <v>1</v>
      </c>
      <c r="BD77" s="119">
        <f>Assumptions!BD54</f>
        <v>1</v>
      </c>
      <c r="BE77" s="119">
        <f>Assumptions!BE54</f>
        <v>1</v>
      </c>
      <c r="BF77" s="119">
        <f>Assumptions!BF54</f>
        <v>1</v>
      </c>
      <c r="BG77" s="119">
        <f>Assumptions!BG54</f>
        <v>1</v>
      </c>
      <c r="BH77" s="119">
        <f>Assumptions!BH54</f>
        <v>1</v>
      </c>
      <c r="BI77" s="119">
        <f>Assumptions!BI54</f>
        <v>1</v>
      </c>
      <c r="BJ77" s="119">
        <f>Assumptions!BJ54</f>
        <v>1</v>
      </c>
      <c r="BK77" s="119">
        <f>Assumptions!BK54</f>
        <v>1</v>
      </c>
      <c r="BL77" s="119">
        <f>Assumptions!BL54</f>
        <v>1</v>
      </c>
      <c r="BM77" s="119">
        <f>Assumptions!BM54</f>
        <v>1</v>
      </c>
      <c r="BN77" s="119">
        <f>Assumptions!BN54</f>
        <v>1</v>
      </c>
      <c r="BO77" s="119">
        <f>Assumptions!BO54</f>
        <v>1</v>
      </c>
      <c r="BP77" s="119">
        <f>Assumptions!BP54</f>
        <v>1</v>
      </c>
      <c r="BQ77" s="119">
        <f>Assumptions!BQ54</f>
        <v>1</v>
      </c>
      <c r="BR77" s="119">
        <f>Assumptions!BR54</f>
        <v>1</v>
      </c>
      <c r="BS77" s="119">
        <f>Assumptions!BS54</f>
        <v>1</v>
      </c>
      <c r="BT77" s="119">
        <f>Assumptions!BT54</f>
        <v>1</v>
      </c>
      <c r="BU77" s="11"/>
    </row>
    <row r="78" spans="1:78" x14ac:dyDescent="0.3">
      <c r="A78" t="str">
        <f>Assumptions!A55</f>
        <v>HR</v>
      </c>
      <c r="M78" s="119">
        <f>Assumptions!M55</f>
        <v>0</v>
      </c>
      <c r="N78" s="119">
        <f>Assumptions!N55</f>
        <v>0</v>
      </c>
      <c r="O78" s="119">
        <f>Assumptions!O55</f>
        <v>0</v>
      </c>
      <c r="P78" s="119">
        <f>Assumptions!P55</f>
        <v>0</v>
      </c>
      <c r="Q78" s="119">
        <f>Assumptions!Q55</f>
        <v>0</v>
      </c>
      <c r="R78" s="119">
        <f>Assumptions!R55</f>
        <v>0</v>
      </c>
      <c r="S78" s="119">
        <f>Assumptions!S55</f>
        <v>0</v>
      </c>
      <c r="T78" s="119">
        <f>Assumptions!T55</f>
        <v>0</v>
      </c>
      <c r="U78" s="119">
        <f>Assumptions!U55</f>
        <v>0</v>
      </c>
      <c r="V78" s="119">
        <f>Assumptions!V55</f>
        <v>0</v>
      </c>
      <c r="W78" s="119">
        <f>Assumptions!W55</f>
        <v>0</v>
      </c>
      <c r="X78" s="119">
        <f>Assumptions!X55</f>
        <v>0</v>
      </c>
      <c r="Y78" s="119">
        <f>Assumptions!Y55</f>
        <v>1</v>
      </c>
      <c r="Z78" s="119">
        <f>Assumptions!Z55</f>
        <v>1</v>
      </c>
      <c r="AA78" s="119">
        <f>Assumptions!AA55</f>
        <v>1</v>
      </c>
      <c r="AB78" s="119">
        <f>Assumptions!AB55</f>
        <v>1</v>
      </c>
      <c r="AC78" s="119">
        <f>Assumptions!AC55</f>
        <v>1</v>
      </c>
      <c r="AD78" s="119">
        <f>Assumptions!AD55</f>
        <v>1</v>
      </c>
      <c r="AE78" s="119">
        <f>Assumptions!AE55</f>
        <v>1</v>
      </c>
      <c r="AF78" s="119">
        <f>Assumptions!AF55</f>
        <v>1</v>
      </c>
      <c r="AG78" s="119">
        <f>Assumptions!AG55</f>
        <v>1</v>
      </c>
      <c r="AH78" s="119">
        <f>Assumptions!AH55</f>
        <v>1</v>
      </c>
      <c r="AI78" s="119">
        <f>Assumptions!AI55</f>
        <v>1</v>
      </c>
      <c r="AJ78" s="119">
        <f>Assumptions!AJ55</f>
        <v>1</v>
      </c>
      <c r="AK78" s="119">
        <f>Assumptions!AK55</f>
        <v>2</v>
      </c>
      <c r="AL78" s="119">
        <f>Assumptions!AL55</f>
        <v>2</v>
      </c>
      <c r="AM78" s="119">
        <f>Assumptions!AM55</f>
        <v>2</v>
      </c>
      <c r="AN78" s="119">
        <f>Assumptions!AN55</f>
        <v>2</v>
      </c>
      <c r="AO78" s="119">
        <f>Assumptions!AO55</f>
        <v>2</v>
      </c>
      <c r="AP78" s="119">
        <f>Assumptions!AP55</f>
        <v>2</v>
      </c>
      <c r="AQ78" s="119">
        <f>Assumptions!AQ55</f>
        <v>2</v>
      </c>
      <c r="AR78" s="119">
        <f>Assumptions!AR55</f>
        <v>2</v>
      </c>
      <c r="AS78" s="119">
        <f>Assumptions!AS55</f>
        <v>2</v>
      </c>
      <c r="AT78" s="119">
        <f>Assumptions!AT55</f>
        <v>2</v>
      </c>
      <c r="AU78" s="119">
        <f>Assumptions!AU55</f>
        <v>2</v>
      </c>
      <c r="AV78" s="119">
        <f>Assumptions!AV55</f>
        <v>2</v>
      </c>
      <c r="AW78" s="119">
        <f>Assumptions!AW55</f>
        <v>2</v>
      </c>
      <c r="AX78" s="119">
        <f>Assumptions!AX55</f>
        <v>2</v>
      </c>
      <c r="AY78" s="119">
        <f>Assumptions!AY55</f>
        <v>2</v>
      </c>
      <c r="AZ78" s="119">
        <f>Assumptions!AZ55</f>
        <v>2</v>
      </c>
      <c r="BA78" s="119">
        <f>Assumptions!BA55</f>
        <v>2</v>
      </c>
      <c r="BB78" s="119">
        <f>Assumptions!BB55</f>
        <v>2</v>
      </c>
      <c r="BC78" s="119">
        <f>Assumptions!BC55</f>
        <v>2</v>
      </c>
      <c r="BD78" s="119">
        <f>Assumptions!BD55</f>
        <v>2</v>
      </c>
      <c r="BE78" s="119">
        <f>Assumptions!BE55</f>
        <v>2</v>
      </c>
      <c r="BF78" s="119">
        <f>Assumptions!BF55</f>
        <v>2</v>
      </c>
      <c r="BG78" s="119">
        <f>Assumptions!BG55</f>
        <v>2</v>
      </c>
      <c r="BH78" s="119">
        <f>Assumptions!BH55</f>
        <v>2</v>
      </c>
      <c r="BI78" s="119">
        <f>Assumptions!BI55</f>
        <v>2</v>
      </c>
      <c r="BJ78" s="119">
        <f>Assumptions!BJ55</f>
        <v>2</v>
      </c>
      <c r="BK78" s="119">
        <f>Assumptions!BK55</f>
        <v>2</v>
      </c>
      <c r="BL78" s="119">
        <f>Assumptions!BL55</f>
        <v>2</v>
      </c>
      <c r="BM78" s="119">
        <f>Assumptions!BM55</f>
        <v>2</v>
      </c>
      <c r="BN78" s="119">
        <f>Assumptions!BN55</f>
        <v>2</v>
      </c>
      <c r="BO78" s="119">
        <f>Assumptions!BO55</f>
        <v>2</v>
      </c>
      <c r="BP78" s="119">
        <f>Assumptions!BP55</f>
        <v>2</v>
      </c>
      <c r="BQ78" s="119">
        <f>Assumptions!BQ55</f>
        <v>2</v>
      </c>
      <c r="BR78" s="119">
        <f>Assumptions!BR55</f>
        <v>2</v>
      </c>
      <c r="BS78" s="119">
        <f>Assumptions!BS55</f>
        <v>2</v>
      </c>
      <c r="BT78" s="119">
        <f>Assumptions!BT55</f>
        <v>2</v>
      </c>
      <c r="BU78" s="11"/>
    </row>
    <row r="79" spans="1:78" x14ac:dyDescent="0.3">
      <c r="A79" s="29" t="s">
        <v>197</v>
      </c>
      <c r="M79" s="22">
        <f>SUM(M80)</f>
        <v>4</v>
      </c>
      <c r="N79" s="22">
        <f t="shared" ref="N79:BT79" si="91">SUM(N80)</f>
        <v>4</v>
      </c>
      <c r="O79" s="22">
        <f t="shared" si="91"/>
        <v>4</v>
      </c>
      <c r="P79" s="22">
        <f t="shared" si="91"/>
        <v>4</v>
      </c>
      <c r="Q79" s="22">
        <f t="shared" si="91"/>
        <v>4</v>
      </c>
      <c r="R79" s="22">
        <f t="shared" si="91"/>
        <v>4</v>
      </c>
      <c r="S79" s="22">
        <f t="shared" si="91"/>
        <v>5</v>
      </c>
      <c r="T79" s="22">
        <f t="shared" si="91"/>
        <v>5</v>
      </c>
      <c r="U79" s="22">
        <f t="shared" si="91"/>
        <v>5</v>
      </c>
      <c r="V79" s="22">
        <f t="shared" si="91"/>
        <v>5</v>
      </c>
      <c r="W79" s="22">
        <f t="shared" si="91"/>
        <v>5</v>
      </c>
      <c r="X79" s="22">
        <f t="shared" si="91"/>
        <v>5</v>
      </c>
      <c r="Y79" s="22">
        <f t="shared" si="91"/>
        <v>7</v>
      </c>
      <c r="Z79" s="22">
        <f t="shared" si="91"/>
        <v>7</v>
      </c>
      <c r="AA79" s="22">
        <f t="shared" si="91"/>
        <v>7</v>
      </c>
      <c r="AB79" s="22">
        <f t="shared" si="91"/>
        <v>7</v>
      </c>
      <c r="AC79" s="22">
        <f t="shared" si="91"/>
        <v>7</v>
      </c>
      <c r="AD79" s="22">
        <f t="shared" si="91"/>
        <v>7</v>
      </c>
      <c r="AE79" s="22">
        <f t="shared" si="91"/>
        <v>7</v>
      </c>
      <c r="AF79" s="22">
        <f t="shared" si="91"/>
        <v>7</v>
      </c>
      <c r="AG79" s="22">
        <f t="shared" si="91"/>
        <v>7</v>
      </c>
      <c r="AH79" s="22">
        <f t="shared" si="91"/>
        <v>7</v>
      </c>
      <c r="AI79" s="22">
        <f t="shared" si="91"/>
        <v>7</v>
      </c>
      <c r="AJ79" s="22">
        <f t="shared" si="91"/>
        <v>7</v>
      </c>
      <c r="AK79" s="22">
        <f t="shared" si="91"/>
        <v>10</v>
      </c>
      <c r="AL79" s="22">
        <f t="shared" si="91"/>
        <v>10</v>
      </c>
      <c r="AM79" s="22">
        <f t="shared" si="91"/>
        <v>10</v>
      </c>
      <c r="AN79" s="22">
        <f t="shared" si="91"/>
        <v>10</v>
      </c>
      <c r="AO79" s="22">
        <f t="shared" si="91"/>
        <v>10</v>
      </c>
      <c r="AP79" s="22">
        <f t="shared" si="91"/>
        <v>10</v>
      </c>
      <c r="AQ79" s="22">
        <f t="shared" si="91"/>
        <v>10</v>
      </c>
      <c r="AR79" s="22">
        <f t="shared" si="91"/>
        <v>10</v>
      </c>
      <c r="AS79" s="22">
        <f t="shared" si="91"/>
        <v>10</v>
      </c>
      <c r="AT79" s="22">
        <f t="shared" si="91"/>
        <v>10</v>
      </c>
      <c r="AU79" s="22">
        <f t="shared" si="91"/>
        <v>10</v>
      </c>
      <c r="AV79" s="22">
        <f t="shared" si="91"/>
        <v>10</v>
      </c>
      <c r="AW79" s="22">
        <f t="shared" si="91"/>
        <v>10</v>
      </c>
      <c r="AX79" s="22">
        <f t="shared" si="91"/>
        <v>10</v>
      </c>
      <c r="AY79" s="22">
        <f t="shared" si="91"/>
        <v>10</v>
      </c>
      <c r="AZ79" s="22">
        <f t="shared" si="91"/>
        <v>10</v>
      </c>
      <c r="BA79" s="22">
        <f t="shared" si="91"/>
        <v>10</v>
      </c>
      <c r="BB79" s="22">
        <f t="shared" si="91"/>
        <v>10</v>
      </c>
      <c r="BC79" s="22">
        <f t="shared" si="91"/>
        <v>10</v>
      </c>
      <c r="BD79" s="22">
        <f t="shared" si="91"/>
        <v>10</v>
      </c>
      <c r="BE79" s="22">
        <f t="shared" si="91"/>
        <v>10</v>
      </c>
      <c r="BF79" s="22">
        <f t="shared" si="91"/>
        <v>10</v>
      </c>
      <c r="BG79" s="22">
        <f t="shared" si="91"/>
        <v>10</v>
      </c>
      <c r="BH79" s="22">
        <f t="shared" si="91"/>
        <v>10</v>
      </c>
      <c r="BI79" s="22">
        <f t="shared" si="91"/>
        <v>10</v>
      </c>
      <c r="BJ79" s="22">
        <f t="shared" si="91"/>
        <v>10</v>
      </c>
      <c r="BK79" s="22">
        <f t="shared" si="91"/>
        <v>10</v>
      </c>
      <c r="BL79" s="22">
        <f t="shared" si="91"/>
        <v>10</v>
      </c>
      <c r="BM79" s="22">
        <f t="shared" si="91"/>
        <v>10</v>
      </c>
      <c r="BN79" s="22">
        <f t="shared" si="91"/>
        <v>10</v>
      </c>
      <c r="BO79" s="22">
        <f t="shared" si="91"/>
        <v>10</v>
      </c>
      <c r="BP79" s="22">
        <f t="shared" si="91"/>
        <v>10</v>
      </c>
      <c r="BQ79" s="22">
        <f t="shared" si="91"/>
        <v>10</v>
      </c>
      <c r="BR79" s="22">
        <f t="shared" si="91"/>
        <v>10</v>
      </c>
      <c r="BS79" s="22">
        <f t="shared" si="91"/>
        <v>10</v>
      </c>
      <c r="BT79" s="22">
        <f t="shared" si="91"/>
        <v>10</v>
      </c>
      <c r="BU79" s="11"/>
    </row>
    <row r="80" spans="1:78" x14ac:dyDescent="0.3">
      <c r="A80" t="str">
        <f>Assumptions!A59</f>
        <v>Product Developemt Team</v>
      </c>
      <c r="M80" s="119">
        <f>Assumptions!M59</f>
        <v>4</v>
      </c>
      <c r="N80" s="119">
        <f>Assumptions!N59</f>
        <v>4</v>
      </c>
      <c r="O80" s="119">
        <f>Assumptions!O59</f>
        <v>4</v>
      </c>
      <c r="P80" s="119">
        <f>Assumptions!P59</f>
        <v>4</v>
      </c>
      <c r="Q80" s="119">
        <f>Assumptions!Q59</f>
        <v>4</v>
      </c>
      <c r="R80" s="119">
        <f>Assumptions!R59</f>
        <v>4</v>
      </c>
      <c r="S80" s="119">
        <f>Assumptions!S59</f>
        <v>5</v>
      </c>
      <c r="T80" s="119">
        <f>Assumptions!T59</f>
        <v>5</v>
      </c>
      <c r="U80" s="119">
        <f>Assumptions!U59</f>
        <v>5</v>
      </c>
      <c r="V80" s="119">
        <f>Assumptions!V59</f>
        <v>5</v>
      </c>
      <c r="W80" s="119">
        <f>Assumptions!W59</f>
        <v>5</v>
      </c>
      <c r="X80" s="119">
        <f>Assumptions!X59</f>
        <v>5</v>
      </c>
      <c r="Y80" s="119">
        <f>Assumptions!Y59</f>
        <v>7</v>
      </c>
      <c r="Z80" s="119">
        <f>Assumptions!Z59</f>
        <v>7</v>
      </c>
      <c r="AA80" s="119">
        <f>Assumptions!AA59</f>
        <v>7</v>
      </c>
      <c r="AB80" s="119">
        <f>Assumptions!AB59</f>
        <v>7</v>
      </c>
      <c r="AC80" s="119">
        <f>Assumptions!AC59</f>
        <v>7</v>
      </c>
      <c r="AD80" s="119">
        <f>Assumptions!AD59</f>
        <v>7</v>
      </c>
      <c r="AE80" s="119">
        <f>Assumptions!AE59</f>
        <v>7</v>
      </c>
      <c r="AF80" s="119">
        <f>Assumptions!AF59</f>
        <v>7</v>
      </c>
      <c r="AG80" s="119">
        <f>Assumptions!AG59</f>
        <v>7</v>
      </c>
      <c r="AH80" s="119">
        <f>Assumptions!AH59</f>
        <v>7</v>
      </c>
      <c r="AI80" s="119">
        <f>Assumptions!AI59</f>
        <v>7</v>
      </c>
      <c r="AJ80" s="119">
        <f>Assumptions!AJ59</f>
        <v>7</v>
      </c>
      <c r="AK80" s="119">
        <f>Assumptions!AK59</f>
        <v>10</v>
      </c>
      <c r="AL80" s="119">
        <f>Assumptions!AL59</f>
        <v>10</v>
      </c>
      <c r="AM80" s="119">
        <f>Assumptions!AM59</f>
        <v>10</v>
      </c>
      <c r="AN80" s="119">
        <f>Assumptions!AN59</f>
        <v>10</v>
      </c>
      <c r="AO80" s="119">
        <f>Assumptions!AO59</f>
        <v>10</v>
      </c>
      <c r="AP80" s="119">
        <f>Assumptions!AP59</f>
        <v>10</v>
      </c>
      <c r="AQ80" s="119">
        <f>Assumptions!AQ59</f>
        <v>10</v>
      </c>
      <c r="AR80" s="119">
        <f>Assumptions!AR59</f>
        <v>10</v>
      </c>
      <c r="AS80" s="119">
        <f>Assumptions!AS59</f>
        <v>10</v>
      </c>
      <c r="AT80" s="119">
        <f>Assumptions!AT59</f>
        <v>10</v>
      </c>
      <c r="AU80" s="119">
        <f>Assumptions!AU59</f>
        <v>10</v>
      </c>
      <c r="AV80" s="119">
        <f>Assumptions!AV59</f>
        <v>10</v>
      </c>
      <c r="AW80" s="119">
        <f>Assumptions!AW59</f>
        <v>10</v>
      </c>
      <c r="AX80" s="119">
        <f>Assumptions!AX59</f>
        <v>10</v>
      </c>
      <c r="AY80" s="119">
        <f>Assumptions!AY59</f>
        <v>10</v>
      </c>
      <c r="AZ80" s="119">
        <f>Assumptions!AZ59</f>
        <v>10</v>
      </c>
      <c r="BA80" s="119">
        <f>Assumptions!BA59</f>
        <v>10</v>
      </c>
      <c r="BB80" s="119">
        <f>Assumptions!BB59</f>
        <v>10</v>
      </c>
      <c r="BC80" s="119">
        <f>Assumptions!BC59</f>
        <v>10</v>
      </c>
      <c r="BD80" s="119">
        <f>Assumptions!BD59</f>
        <v>10</v>
      </c>
      <c r="BE80" s="119">
        <f>Assumptions!BE59</f>
        <v>10</v>
      </c>
      <c r="BF80" s="119">
        <f>Assumptions!BF59</f>
        <v>10</v>
      </c>
      <c r="BG80" s="119">
        <f>Assumptions!BG59</f>
        <v>10</v>
      </c>
      <c r="BH80" s="119">
        <f>Assumptions!BH59</f>
        <v>10</v>
      </c>
      <c r="BI80" s="119">
        <f>Assumptions!BI59</f>
        <v>10</v>
      </c>
      <c r="BJ80" s="119">
        <f>Assumptions!BJ59</f>
        <v>10</v>
      </c>
      <c r="BK80" s="119">
        <f>Assumptions!BK59</f>
        <v>10</v>
      </c>
      <c r="BL80" s="119">
        <f>Assumptions!BL59</f>
        <v>10</v>
      </c>
      <c r="BM80" s="119">
        <f>Assumptions!BM59</f>
        <v>10</v>
      </c>
      <c r="BN80" s="119">
        <f>Assumptions!BN59</f>
        <v>10</v>
      </c>
      <c r="BO80" s="119">
        <f>Assumptions!BO59</f>
        <v>10</v>
      </c>
      <c r="BP80" s="119">
        <f>Assumptions!BP59</f>
        <v>10</v>
      </c>
      <c r="BQ80" s="119">
        <f>Assumptions!BQ59</f>
        <v>10</v>
      </c>
      <c r="BR80" s="119">
        <f>Assumptions!BR59</f>
        <v>10</v>
      </c>
      <c r="BS80" s="119">
        <f>Assumptions!BS59</f>
        <v>10</v>
      </c>
      <c r="BT80" s="119">
        <f>Assumptions!BT59</f>
        <v>10</v>
      </c>
      <c r="BU80" s="11"/>
    </row>
    <row r="81" spans="1:72" x14ac:dyDescent="0.3">
      <c r="A81" t="s">
        <v>286</v>
      </c>
      <c r="M81" s="78">
        <f t="shared" ref="M81:AR81" si="92">M15</f>
        <v>1</v>
      </c>
      <c r="N81" s="78">
        <f t="shared" si="92"/>
        <v>1</v>
      </c>
      <c r="O81" s="78">
        <f t="shared" si="92"/>
        <v>1</v>
      </c>
      <c r="P81" s="78">
        <f t="shared" si="92"/>
        <v>1</v>
      </c>
      <c r="Q81" s="78">
        <f t="shared" si="92"/>
        <v>2</v>
      </c>
      <c r="R81" s="78">
        <f t="shared" si="92"/>
        <v>2</v>
      </c>
      <c r="S81" s="78">
        <f t="shared" si="92"/>
        <v>2</v>
      </c>
      <c r="T81" s="78">
        <f t="shared" si="92"/>
        <v>2</v>
      </c>
      <c r="U81" s="78">
        <f t="shared" si="92"/>
        <v>3</v>
      </c>
      <c r="V81" s="78">
        <f t="shared" si="92"/>
        <v>3</v>
      </c>
      <c r="W81" s="78">
        <f t="shared" si="92"/>
        <v>4</v>
      </c>
      <c r="X81" s="78">
        <f t="shared" si="92"/>
        <v>4</v>
      </c>
      <c r="Y81" s="78">
        <f t="shared" si="92"/>
        <v>5</v>
      </c>
      <c r="Z81" s="78">
        <f t="shared" si="92"/>
        <v>5</v>
      </c>
      <c r="AA81" s="78">
        <f t="shared" si="92"/>
        <v>6</v>
      </c>
      <c r="AB81" s="78">
        <f t="shared" si="92"/>
        <v>6</v>
      </c>
      <c r="AC81" s="78">
        <f t="shared" si="92"/>
        <v>7</v>
      </c>
      <c r="AD81" s="78">
        <f t="shared" si="92"/>
        <v>7</v>
      </c>
      <c r="AE81" s="78">
        <f t="shared" si="92"/>
        <v>9</v>
      </c>
      <c r="AF81" s="78">
        <f t="shared" si="92"/>
        <v>10</v>
      </c>
      <c r="AG81" s="78">
        <f t="shared" si="92"/>
        <v>11</v>
      </c>
      <c r="AH81" s="78">
        <f t="shared" si="92"/>
        <v>12</v>
      </c>
      <c r="AI81" s="78">
        <f t="shared" si="92"/>
        <v>13</v>
      </c>
      <c r="AJ81" s="78">
        <f t="shared" si="92"/>
        <v>15</v>
      </c>
      <c r="AK81" s="78">
        <f t="shared" si="92"/>
        <v>16</v>
      </c>
      <c r="AL81" s="78">
        <f t="shared" si="92"/>
        <v>17</v>
      </c>
      <c r="AM81" s="78">
        <f t="shared" si="92"/>
        <v>18</v>
      </c>
      <c r="AN81" s="78">
        <f t="shared" si="92"/>
        <v>20</v>
      </c>
      <c r="AO81" s="78">
        <f t="shared" si="92"/>
        <v>21</v>
      </c>
      <c r="AP81" s="78">
        <f t="shared" si="92"/>
        <v>22</v>
      </c>
      <c r="AQ81" s="78">
        <f t="shared" si="92"/>
        <v>24</v>
      </c>
      <c r="AR81" s="78">
        <f t="shared" si="92"/>
        <v>25</v>
      </c>
      <c r="AS81" s="78">
        <f t="shared" ref="AS81:BT81" si="93">AS15</f>
        <v>26</v>
      </c>
      <c r="AT81" s="78">
        <f t="shared" si="93"/>
        <v>27</v>
      </c>
      <c r="AU81" s="78">
        <f t="shared" si="93"/>
        <v>28</v>
      </c>
      <c r="AV81" s="78">
        <f t="shared" si="93"/>
        <v>30</v>
      </c>
      <c r="AW81" s="78">
        <f t="shared" si="93"/>
        <v>31</v>
      </c>
      <c r="AX81" s="78">
        <f t="shared" si="93"/>
        <v>32</v>
      </c>
      <c r="AY81" s="78">
        <f t="shared" si="93"/>
        <v>34</v>
      </c>
      <c r="AZ81" s="78">
        <f t="shared" si="93"/>
        <v>35</v>
      </c>
      <c r="BA81" s="78">
        <f t="shared" si="93"/>
        <v>37</v>
      </c>
      <c r="BB81" s="78">
        <f t="shared" si="93"/>
        <v>38</v>
      </c>
      <c r="BC81" s="78">
        <f t="shared" si="93"/>
        <v>40</v>
      </c>
      <c r="BD81" s="78">
        <f t="shared" si="93"/>
        <v>41</v>
      </c>
      <c r="BE81" s="78">
        <f t="shared" si="93"/>
        <v>43</v>
      </c>
      <c r="BF81" s="78">
        <f t="shared" si="93"/>
        <v>45</v>
      </c>
      <c r="BG81" s="78">
        <f t="shared" si="93"/>
        <v>46</v>
      </c>
      <c r="BH81" s="78">
        <f t="shared" si="93"/>
        <v>48</v>
      </c>
      <c r="BI81" s="78">
        <f t="shared" si="93"/>
        <v>49</v>
      </c>
      <c r="BJ81" s="78">
        <f t="shared" si="93"/>
        <v>51</v>
      </c>
      <c r="BK81" s="78">
        <f t="shared" si="93"/>
        <v>53</v>
      </c>
      <c r="BL81" s="78">
        <f t="shared" si="93"/>
        <v>55</v>
      </c>
      <c r="BM81" s="78">
        <f t="shared" si="93"/>
        <v>57</v>
      </c>
      <c r="BN81" s="78">
        <f t="shared" si="93"/>
        <v>58</v>
      </c>
      <c r="BO81" s="78">
        <f t="shared" si="93"/>
        <v>60</v>
      </c>
      <c r="BP81" s="78">
        <f t="shared" si="93"/>
        <v>62</v>
      </c>
      <c r="BQ81" s="78">
        <f t="shared" si="93"/>
        <v>64</v>
      </c>
      <c r="BR81" s="78">
        <f t="shared" si="93"/>
        <v>66</v>
      </c>
      <c r="BS81" s="78">
        <f t="shared" si="93"/>
        <v>68</v>
      </c>
      <c r="BT81" s="78">
        <f t="shared" si="93"/>
        <v>70</v>
      </c>
    </row>
    <row r="82" spans="1:72" ht="16.2" thickBot="1" x14ac:dyDescent="0.35">
      <c r="A82" s="22" t="s">
        <v>287</v>
      </c>
      <c r="M82" s="249">
        <f>M67+M70+M75+M79+M81</f>
        <v>10</v>
      </c>
      <c r="N82" s="249">
        <f t="shared" ref="N82:BT82" si="94">N67+N70+N75+N79+N81</f>
        <v>10</v>
      </c>
      <c r="O82" s="249">
        <f t="shared" si="94"/>
        <v>10</v>
      </c>
      <c r="P82" s="249">
        <f t="shared" si="94"/>
        <v>11</v>
      </c>
      <c r="Q82" s="249">
        <f t="shared" si="94"/>
        <v>12</v>
      </c>
      <c r="R82" s="249">
        <f t="shared" si="94"/>
        <v>12</v>
      </c>
      <c r="S82" s="249">
        <f t="shared" si="94"/>
        <v>16</v>
      </c>
      <c r="T82" s="249">
        <f t="shared" si="94"/>
        <v>16</v>
      </c>
      <c r="U82" s="249">
        <f t="shared" si="94"/>
        <v>17</v>
      </c>
      <c r="V82" s="249">
        <f t="shared" si="94"/>
        <v>20</v>
      </c>
      <c r="W82" s="249">
        <f t="shared" si="94"/>
        <v>21</v>
      </c>
      <c r="X82" s="249">
        <f t="shared" si="94"/>
        <v>21</v>
      </c>
      <c r="Y82" s="249">
        <f t="shared" si="94"/>
        <v>28</v>
      </c>
      <c r="Z82" s="249">
        <f t="shared" si="94"/>
        <v>28</v>
      </c>
      <c r="AA82" s="249">
        <f t="shared" si="94"/>
        <v>29</v>
      </c>
      <c r="AB82" s="249">
        <f t="shared" si="94"/>
        <v>30</v>
      </c>
      <c r="AC82" s="249">
        <f t="shared" si="94"/>
        <v>31</v>
      </c>
      <c r="AD82" s="249">
        <f t="shared" si="94"/>
        <v>31</v>
      </c>
      <c r="AE82" s="249">
        <f t="shared" si="94"/>
        <v>47</v>
      </c>
      <c r="AF82" s="249">
        <f t="shared" si="94"/>
        <v>48</v>
      </c>
      <c r="AG82" s="249">
        <f t="shared" si="94"/>
        <v>49</v>
      </c>
      <c r="AH82" s="249">
        <f t="shared" si="94"/>
        <v>52</v>
      </c>
      <c r="AI82" s="249">
        <f t="shared" si="94"/>
        <v>53</v>
      </c>
      <c r="AJ82" s="249">
        <f t="shared" si="94"/>
        <v>55</v>
      </c>
      <c r="AK82" s="249">
        <f t="shared" si="94"/>
        <v>66</v>
      </c>
      <c r="AL82" s="249">
        <f t="shared" si="94"/>
        <v>67</v>
      </c>
      <c r="AM82" s="249">
        <f t="shared" si="94"/>
        <v>68</v>
      </c>
      <c r="AN82" s="249">
        <f t="shared" si="94"/>
        <v>71</v>
      </c>
      <c r="AO82" s="249">
        <f t="shared" si="94"/>
        <v>72</v>
      </c>
      <c r="AP82" s="249">
        <f t="shared" si="94"/>
        <v>73</v>
      </c>
      <c r="AQ82" s="249">
        <f t="shared" si="94"/>
        <v>77</v>
      </c>
      <c r="AR82" s="249">
        <f t="shared" si="94"/>
        <v>78</v>
      </c>
      <c r="AS82" s="249">
        <f t="shared" si="94"/>
        <v>79</v>
      </c>
      <c r="AT82" s="249">
        <f t="shared" si="94"/>
        <v>81</v>
      </c>
      <c r="AU82" s="249">
        <f t="shared" si="94"/>
        <v>82</v>
      </c>
      <c r="AV82" s="249">
        <f t="shared" si="94"/>
        <v>84</v>
      </c>
      <c r="AW82" s="249">
        <f t="shared" si="94"/>
        <v>89</v>
      </c>
      <c r="AX82" s="249">
        <f t="shared" si="94"/>
        <v>90</v>
      </c>
      <c r="AY82" s="249">
        <f t="shared" si="94"/>
        <v>92</v>
      </c>
      <c r="AZ82" s="249">
        <f t="shared" si="94"/>
        <v>94</v>
      </c>
      <c r="BA82" s="249">
        <f t="shared" si="94"/>
        <v>96</v>
      </c>
      <c r="BB82" s="249">
        <f t="shared" si="94"/>
        <v>97</v>
      </c>
      <c r="BC82" s="249">
        <f t="shared" si="94"/>
        <v>100</v>
      </c>
      <c r="BD82" s="249">
        <f t="shared" si="94"/>
        <v>101</v>
      </c>
      <c r="BE82" s="249">
        <f t="shared" si="94"/>
        <v>103</v>
      </c>
      <c r="BF82" s="249">
        <f t="shared" si="94"/>
        <v>106</v>
      </c>
      <c r="BG82" s="249">
        <f t="shared" si="94"/>
        <v>107</v>
      </c>
      <c r="BH82" s="249">
        <f t="shared" si="94"/>
        <v>109</v>
      </c>
      <c r="BI82" s="249">
        <f t="shared" si="94"/>
        <v>115</v>
      </c>
      <c r="BJ82" s="249">
        <f t="shared" si="94"/>
        <v>117</v>
      </c>
      <c r="BK82" s="249">
        <f t="shared" si="94"/>
        <v>119</v>
      </c>
      <c r="BL82" s="249">
        <f t="shared" si="94"/>
        <v>122</v>
      </c>
      <c r="BM82" s="249">
        <f t="shared" si="94"/>
        <v>124</v>
      </c>
      <c r="BN82" s="249">
        <f t="shared" si="94"/>
        <v>125</v>
      </c>
      <c r="BO82" s="249">
        <f t="shared" si="94"/>
        <v>128</v>
      </c>
      <c r="BP82" s="249">
        <f t="shared" si="94"/>
        <v>130</v>
      </c>
      <c r="BQ82" s="249">
        <f t="shared" si="94"/>
        <v>132</v>
      </c>
      <c r="BR82" s="249">
        <f t="shared" si="94"/>
        <v>135</v>
      </c>
      <c r="BS82" s="249">
        <f t="shared" si="94"/>
        <v>137</v>
      </c>
      <c r="BT82" s="249">
        <f t="shared" si="94"/>
        <v>139</v>
      </c>
    </row>
    <row r="83" spans="1:72" ht="16.2" thickTop="1" x14ac:dyDescent="0.3"/>
  </sheetData>
  <mergeCells count="2">
    <mergeCell ref="M2:BT2"/>
    <mergeCell ref="BV2:B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1D9B-B2AB-EA40-A30A-D9AC6DBC218E}">
  <dimension ref="A1:BZ4"/>
  <sheetViews>
    <sheetView showGridLines="0" workbookViewId="0">
      <pane xSplit="12" ySplit="4" topLeftCell="M5" activePane="bottomRight" state="frozen"/>
      <selection activeCell="S18" sqref="S18"/>
      <selection pane="topRight" activeCell="S18" sqref="S18"/>
      <selection pane="bottomLeft" activeCell="S18" sqref="S18"/>
      <selection pane="bottomRight"/>
    </sheetView>
  </sheetViews>
  <sheetFormatPr defaultColWidth="11.19921875" defaultRowHeight="15.6" x14ac:dyDescent="0.3"/>
  <cols>
    <col min="2" max="12" width="2" customWidth="1"/>
  </cols>
  <sheetData>
    <row r="1" spans="1:78" ht="21" x14ac:dyDescent="0.4">
      <c r="A1" s="1" t="s">
        <v>81</v>
      </c>
      <c r="B1" s="1"/>
      <c r="C1" s="2"/>
      <c r="D1" s="3"/>
      <c r="E1" s="3"/>
      <c r="F1" s="3"/>
      <c r="G1" s="3"/>
      <c r="H1" s="3"/>
      <c r="I1" s="3"/>
      <c r="J1" s="4"/>
      <c r="K1" s="3"/>
      <c r="L1" s="3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16.2" thickBot="1" x14ac:dyDescent="0.35">
      <c r="A2" s="7" t="s">
        <v>0</v>
      </c>
      <c r="B2" s="7"/>
      <c r="C2" s="2"/>
      <c r="D2" s="3"/>
      <c r="E2" s="3"/>
      <c r="F2" s="3"/>
      <c r="G2" s="3"/>
      <c r="H2" s="3"/>
      <c r="I2" s="3"/>
      <c r="J2" s="4"/>
      <c r="K2" s="3"/>
      <c r="L2" s="3"/>
      <c r="M2" s="270" t="s">
        <v>1</v>
      </c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3"/>
      <c r="BV2" s="270" t="s">
        <v>2</v>
      </c>
      <c r="BW2" s="270"/>
      <c r="BX2" s="270"/>
      <c r="BY2" s="270"/>
      <c r="BZ2" s="270"/>
    </row>
    <row r="3" spans="1:78" x14ac:dyDescent="0.3">
      <c r="A3" s="8" t="s">
        <v>3</v>
      </c>
      <c r="B3" s="9"/>
      <c r="C3" s="9"/>
      <c r="D3" s="10"/>
      <c r="E3" s="10"/>
      <c r="F3" s="10"/>
      <c r="G3" s="10"/>
      <c r="H3" s="10"/>
      <c r="I3" s="10"/>
      <c r="J3" s="3"/>
      <c r="K3" s="3"/>
      <c r="L3" s="3"/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f>X3+1</f>
        <v>2</v>
      </c>
      <c r="Z3" s="19">
        <f>Y3</f>
        <v>2</v>
      </c>
      <c r="AA3" s="19">
        <f t="shared" ref="AA3:AJ3" si="0">Z3</f>
        <v>2</v>
      </c>
      <c r="AB3" s="19">
        <f t="shared" si="0"/>
        <v>2</v>
      </c>
      <c r="AC3" s="19">
        <f t="shared" si="0"/>
        <v>2</v>
      </c>
      <c r="AD3" s="19">
        <f t="shared" si="0"/>
        <v>2</v>
      </c>
      <c r="AE3" s="19">
        <f t="shared" si="0"/>
        <v>2</v>
      </c>
      <c r="AF3" s="19">
        <f t="shared" si="0"/>
        <v>2</v>
      </c>
      <c r="AG3" s="19">
        <f t="shared" si="0"/>
        <v>2</v>
      </c>
      <c r="AH3" s="19">
        <f t="shared" si="0"/>
        <v>2</v>
      </c>
      <c r="AI3" s="19">
        <f t="shared" si="0"/>
        <v>2</v>
      </c>
      <c r="AJ3" s="19">
        <f t="shared" si="0"/>
        <v>2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4</v>
      </c>
      <c r="AX3" s="19">
        <v>4</v>
      </c>
      <c r="AY3" s="19">
        <v>4</v>
      </c>
      <c r="AZ3" s="19">
        <v>4</v>
      </c>
      <c r="BA3" s="19">
        <v>4</v>
      </c>
      <c r="BB3" s="19">
        <v>4</v>
      </c>
      <c r="BC3" s="19">
        <v>4</v>
      </c>
      <c r="BD3" s="19">
        <v>4</v>
      </c>
      <c r="BE3" s="19">
        <v>4</v>
      </c>
      <c r="BF3" s="19">
        <v>4</v>
      </c>
      <c r="BG3" s="19">
        <v>4</v>
      </c>
      <c r="BH3" s="19">
        <v>4</v>
      </c>
      <c r="BI3" s="19">
        <v>5</v>
      </c>
      <c r="BJ3" s="19">
        <v>5</v>
      </c>
      <c r="BK3" s="19">
        <v>5</v>
      </c>
      <c r="BL3" s="19">
        <v>5</v>
      </c>
      <c r="BM3" s="19">
        <v>5</v>
      </c>
      <c r="BN3" s="19">
        <v>5</v>
      </c>
      <c r="BO3" s="19">
        <v>5</v>
      </c>
      <c r="BP3" s="19">
        <v>5</v>
      </c>
      <c r="BQ3" s="19">
        <v>5</v>
      </c>
      <c r="BR3" s="19">
        <v>5</v>
      </c>
      <c r="BS3" s="19">
        <v>5</v>
      </c>
      <c r="BT3" s="19">
        <v>5</v>
      </c>
      <c r="BU3" s="11"/>
      <c r="BV3" s="21">
        <v>1</v>
      </c>
      <c r="BW3" s="21">
        <v>2</v>
      </c>
      <c r="BX3" s="21">
        <v>3</v>
      </c>
      <c r="BY3" s="21">
        <v>4</v>
      </c>
      <c r="BZ3" s="21">
        <v>5</v>
      </c>
    </row>
    <row r="4" spans="1:78" x14ac:dyDescent="0.3">
      <c r="A4" s="12" t="s">
        <v>4</v>
      </c>
      <c r="B4" s="13"/>
      <c r="C4" s="9"/>
      <c r="D4" s="10"/>
      <c r="E4" s="3"/>
      <c r="F4" s="3"/>
      <c r="G4" s="3"/>
      <c r="H4" s="3"/>
      <c r="I4" s="3"/>
      <c r="J4" s="3"/>
      <c r="K4" s="3"/>
      <c r="L4" s="3"/>
      <c r="M4" s="20">
        <v>1</v>
      </c>
      <c r="N4" s="20">
        <f>M4+1</f>
        <v>2</v>
      </c>
      <c r="O4" s="20">
        <f t="shared" ref="O4:BT4" si="1">N4+1</f>
        <v>3</v>
      </c>
      <c r="P4" s="20">
        <f t="shared" si="1"/>
        <v>4</v>
      </c>
      <c r="Q4" s="20">
        <f t="shared" si="1"/>
        <v>5</v>
      </c>
      <c r="R4" s="20">
        <f t="shared" si="1"/>
        <v>6</v>
      </c>
      <c r="S4" s="20">
        <f t="shared" si="1"/>
        <v>7</v>
      </c>
      <c r="T4" s="20">
        <f t="shared" si="1"/>
        <v>8</v>
      </c>
      <c r="U4" s="20">
        <f t="shared" si="1"/>
        <v>9</v>
      </c>
      <c r="V4" s="20">
        <f t="shared" si="1"/>
        <v>10</v>
      </c>
      <c r="W4" s="20">
        <f t="shared" si="1"/>
        <v>11</v>
      </c>
      <c r="X4" s="20">
        <f t="shared" si="1"/>
        <v>12</v>
      </c>
      <c r="Y4" s="20">
        <f t="shared" si="1"/>
        <v>13</v>
      </c>
      <c r="Z4" s="20">
        <f t="shared" si="1"/>
        <v>14</v>
      </c>
      <c r="AA4" s="20">
        <f t="shared" si="1"/>
        <v>15</v>
      </c>
      <c r="AB4" s="20">
        <f t="shared" si="1"/>
        <v>16</v>
      </c>
      <c r="AC4" s="20">
        <f t="shared" si="1"/>
        <v>17</v>
      </c>
      <c r="AD4" s="20">
        <f t="shared" si="1"/>
        <v>18</v>
      </c>
      <c r="AE4" s="20">
        <f t="shared" si="1"/>
        <v>19</v>
      </c>
      <c r="AF4" s="20">
        <f t="shared" si="1"/>
        <v>20</v>
      </c>
      <c r="AG4" s="20">
        <f t="shared" si="1"/>
        <v>21</v>
      </c>
      <c r="AH4" s="20">
        <f t="shared" si="1"/>
        <v>22</v>
      </c>
      <c r="AI4" s="20">
        <f t="shared" si="1"/>
        <v>23</v>
      </c>
      <c r="AJ4" s="20">
        <f t="shared" si="1"/>
        <v>24</v>
      </c>
      <c r="AK4" s="20">
        <f t="shared" si="1"/>
        <v>25</v>
      </c>
      <c r="AL4" s="20">
        <f t="shared" si="1"/>
        <v>26</v>
      </c>
      <c r="AM4" s="20">
        <f t="shared" si="1"/>
        <v>27</v>
      </c>
      <c r="AN4" s="20">
        <f t="shared" si="1"/>
        <v>28</v>
      </c>
      <c r="AO4" s="20">
        <f t="shared" si="1"/>
        <v>29</v>
      </c>
      <c r="AP4" s="20">
        <f t="shared" si="1"/>
        <v>30</v>
      </c>
      <c r="AQ4" s="20">
        <f t="shared" si="1"/>
        <v>31</v>
      </c>
      <c r="AR4" s="20">
        <f t="shared" si="1"/>
        <v>32</v>
      </c>
      <c r="AS4" s="20">
        <f t="shared" si="1"/>
        <v>33</v>
      </c>
      <c r="AT4" s="20">
        <f t="shared" si="1"/>
        <v>34</v>
      </c>
      <c r="AU4" s="20">
        <f t="shared" si="1"/>
        <v>35</v>
      </c>
      <c r="AV4" s="20">
        <f t="shared" si="1"/>
        <v>36</v>
      </c>
      <c r="AW4" s="20">
        <f t="shared" si="1"/>
        <v>37</v>
      </c>
      <c r="AX4" s="20">
        <f t="shared" si="1"/>
        <v>38</v>
      </c>
      <c r="AY4" s="20">
        <f t="shared" si="1"/>
        <v>39</v>
      </c>
      <c r="AZ4" s="20">
        <f t="shared" si="1"/>
        <v>40</v>
      </c>
      <c r="BA4" s="20">
        <f t="shared" si="1"/>
        <v>41</v>
      </c>
      <c r="BB4" s="20">
        <f t="shared" si="1"/>
        <v>42</v>
      </c>
      <c r="BC4" s="20">
        <f t="shared" si="1"/>
        <v>43</v>
      </c>
      <c r="BD4" s="20">
        <f t="shared" si="1"/>
        <v>44</v>
      </c>
      <c r="BE4" s="20">
        <f t="shared" si="1"/>
        <v>45</v>
      </c>
      <c r="BF4" s="20">
        <f t="shared" si="1"/>
        <v>46</v>
      </c>
      <c r="BG4" s="20">
        <f t="shared" si="1"/>
        <v>47</v>
      </c>
      <c r="BH4" s="20">
        <f t="shared" si="1"/>
        <v>48</v>
      </c>
      <c r="BI4" s="20">
        <f t="shared" si="1"/>
        <v>49</v>
      </c>
      <c r="BJ4" s="20">
        <f t="shared" si="1"/>
        <v>50</v>
      </c>
      <c r="BK4" s="20">
        <f t="shared" si="1"/>
        <v>51</v>
      </c>
      <c r="BL4" s="20">
        <f t="shared" si="1"/>
        <v>52</v>
      </c>
      <c r="BM4" s="20">
        <f t="shared" si="1"/>
        <v>53</v>
      </c>
      <c r="BN4" s="20">
        <f t="shared" si="1"/>
        <v>54</v>
      </c>
      <c r="BO4" s="20">
        <f t="shared" si="1"/>
        <v>55</v>
      </c>
      <c r="BP4" s="20">
        <f t="shared" si="1"/>
        <v>56</v>
      </c>
      <c r="BQ4" s="20">
        <f t="shared" si="1"/>
        <v>57</v>
      </c>
      <c r="BR4" s="20">
        <f t="shared" si="1"/>
        <v>58</v>
      </c>
      <c r="BS4" s="20">
        <f t="shared" si="1"/>
        <v>59</v>
      </c>
      <c r="BT4" s="20">
        <f t="shared" si="1"/>
        <v>60</v>
      </c>
      <c r="BU4" s="11"/>
      <c r="BV4" s="20">
        <v>12</v>
      </c>
      <c r="BW4" s="20">
        <v>24</v>
      </c>
      <c r="BX4" s="20">
        <v>36</v>
      </c>
      <c r="BY4" s="20">
        <v>48</v>
      </c>
      <c r="BZ4" s="20">
        <v>60</v>
      </c>
    </row>
  </sheetData>
  <mergeCells count="2">
    <mergeCell ref="M2:BT2"/>
    <mergeCell ref="BV2:BZ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1ACD-E11A-DB4B-A53C-C98B737B84EB}">
  <dimension ref="A1:CF42"/>
  <sheetViews>
    <sheetView showGridLines="0" zoomScale="125" workbookViewId="0">
      <pane xSplit="12" ySplit="4" topLeftCell="BR16" activePane="bottomRight" state="frozen"/>
      <selection activeCell="S18" sqref="S18"/>
      <selection pane="topRight" activeCell="S18" sqref="S18"/>
      <selection pane="bottomLeft" activeCell="S18" sqref="S18"/>
      <selection pane="bottomRight" activeCell="BY31" sqref="BY31"/>
    </sheetView>
  </sheetViews>
  <sheetFormatPr defaultColWidth="11.19921875" defaultRowHeight="15.6" x14ac:dyDescent="0.3"/>
  <cols>
    <col min="2" max="12" width="2" customWidth="1"/>
    <col min="13" max="14" width="12.19921875" bestFit="1" customWidth="1"/>
    <col min="15" max="27" width="13" bestFit="1" customWidth="1"/>
    <col min="28" max="29" width="13.296875" bestFit="1" customWidth="1"/>
    <col min="30" max="65" width="14" bestFit="1" customWidth="1"/>
    <col min="66" max="66" width="14.796875" bestFit="1" customWidth="1"/>
    <col min="67" max="72" width="15.5" bestFit="1" customWidth="1"/>
    <col min="73" max="73" width="4.19921875" customWidth="1"/>
    <col min="74" max="77" width="15.19921875" bestFit="1" customWidth="1"/>
    <col min="78" max="78" width="16.296875" bestFit="1" customWidth="1"/>
    <col min="79" max="79" width="3.796875" customWidth="1"/>
  </cols>
  <sheetData>
    <row r="1" spans="1:84" ht="21" x14ac:dyDescent="0.4">
      <c r="A1" s="1" t="s">
        <v>82</v>
      </c>
      <c r="B1" s="1"/>
      <c r="C1" s="2"/>
      <c r="D1" s="3"/>
      <c r="E1" s="3"/>
      <c r="F1" s="3"/>
      <c r="G1" s="3"/>
      <c r="H1" s="3"/>
      <c r="I1" s="3"/>
      <c r="J1" s="4"/>
      <c r="K1" s="3"/>
      <c r="L1" s="3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84" ht="16.2" thickBot="1" x14ac:dyDescent="0.35">
      <c r="A2" s="7" t="s">
        <v>0</v>
      </c>
      <c r="B2" s="7"/>
      <c r="C2" s="2"/>
      <c r="D2" s="3"/>
      <c r="E2" s="3"/>
      <c r="F2" s="3"/>
      <c r="G2" s="3"/>
      <c r="H2" s="3"/>
      <c r="I2" s="3"/>
      <c r="J2" s="4"/>
      <c r="K2" s="3"/>
      <c r="L2" s="3"/>
      <c r="M2" s="270" t="s">
        <v>1</v>
      </c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3"/>
      <c r="BV2" s="270" t="s">
        <v>2</v>
      </c>
      <c r="BW2" s="270"/>
      <c r="BX2" s="270"/>
      <c r="BY2" s="270"/>
      <c r="BZ2" s="270"/>
      <c r="CB2" s="270" t="s">
        <v>267</v>
      </c>
      <c r="CC2" s="270"/>
      <c r="CD2" s="270"/>
      <c r="CE2" s="270"/>
      <c r="CF2" s="270"/>
    </row>
    <row r="3" spans="1:84" x14ac:dyDescent="0.3">
      <c r="A3" s="8" t="s">
        <v>3</v>
      </c>
      <c r="B3" s="9"/>
      <c r="C3" s="9"/>
      <c r="D3" s="10"/>
      <c r="E3" s="10"/>
      <c r="F3" s="10"/>
      <c r="G3" s="10"/>
      <c r="H3" s="10"/>
      <c r="I3" s="10"/>
      <c r="J3" s="3"/>
      <c r="K3" s="3"/>
      <c r="L3" s="3"/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f>X3+1</f>
        <v>2</v>
      </c>
      <c r="Z3" s="19">
        <f>Y3</f>
        <v>2</v>
      </c>
      <c r="AA3" s="19">
        <f t="shared" ref="AA3:AJ3" si="0">Z3</f>
        <v>2</v>
      </c>
      <c r="AB3" s="19">
        <f t="shared" si="0"/>
        <v>2</v>
      </c>
      <c r="AC3" s="19">
        <f t="shared" si="0"/>
        <v>2</v>
      </c>
      <c r="AD3" s="19">
        <f t="shared" si="0"/>
        <v>2</v>
      </c>
      <c r="AE3" s="19">
        <f t="shared" si="0"/>
        <v>2</v>
      </c>
      <c r="AF3" s="19">
        <f t="shared" si="0"/>
        <v>2</v>
      </c>
      <c r="AG3" s="19">
        <f t="shared" si="0"/>
        <v>2</v>
      </c>
      <c r="AH3" s="19">
        <f t="shared" si="0"/>
        <v>2</v>
      </c>
      <c r="AI3" s="19">
        <f t="shared" si="0"/>
        <v>2</v>
      </c>
      <c r="AJ3" s="19">
        <f t="shared" si="0"/>
        <v>2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4</v>
      </c>
      <c r="AX3" s="19">
        <v>4</v>
      </c>
      <c r="AY3" s="19">
        <v>4</v>
      </c>
      <c r="AZ3" s="19">
        <v>4</v>
      </c>
      <c r="BA3" s="19">
        <v>4</v>
      </c>
      <c r="BB3" s="19">
        <v>4</v>
      </c>
      <c r="BC3" s="19">
        <v>4</v>
      </c>
      <c r="BD3" s="19">
        <v>4</v>
      </c>
      <c r="BE3" s="19">
        <v>4</v>
      </c>
      <c r="BF3" s="19">
        <v>4</v>
      </c>
      <c r="BG3" s="19">
        <v>4</v>
      </c>
      <c r="BH3" s="19">
        <v>4</v>
      </c>
      <c r="BI3" s="19">
        <v>5</v>
      </c>
      <c r="BJ3" s="19">
        <v>5</v>
      </c>
      <c r="BK3" s="19">
        <v>5</v>
      </c>
      <c r="BL3" s="19">
        <v>5</v>
      </c>
      <c r="BM3" s="19">
        <v>5</v>
      </c>
      <c r="BN3" s="19">
        <v>5</v>
      </c>
      <c r="BO3" s="19">
        <v>5</v>
      </c>
      <c r="BP3" s="19">
        <v>5</v>
      </c>
      <c r="BQ3" s="19">
        <v>5</v>
      </c>
      <c r="BR3" s="19">
        <v>5</v>
      </c>
      <c r="BS3" s="19">
        <v>5</v>
      </c>
      <c r="BT3" s="19">
        <v>5</v>
      </c>
      <c r="BU3" s="11"/>
      <c r="BV3" s="19">
        <v>1</v>
      </c>
      <c r="BW3" s="19">
        <v>2</v>
      </c>
      <c r="BX3" s="19">
        <v>3</v>
      </c>
      <c r="BY3" s="19">
        <v>4</v>
      </c>
      <c r="BZ3" s="19">
        <v>5</v>
      </c>
      <c r="CA3" s="11"/>
      <c r="CB3" s="19">
        <v>1</v>
      </c>
      <c r="CC3" s="19">
        <v>2</v>
      </c>
      <c r="CD3" s="19">
        <v>3</v>
      </c>
      <c r="CE3" s="19">
        <v>4</v>
      </c>
      <c r="CF3" s="19">
        <v>5</v>
      </c>
    </row>
    <row r="4" spans="1:84" x14ac:dyDescent="0.3">
      <c r="A4" s="12" t="s">
        <v>4</v>
      </c>
      <c r="B4" s="13"/>
      <c r="C4" s="9"/>
      <c r="D4" s="10"/>
      <c r="E4" s="3"/>
      <c r="F4" s="3"/>
      <c r="G4" s="3"/>
      <c r="H4" s="3"/>
      <c r="I4" s="3"/>
      <c r="J4" s="3"/>
      <c r="K4" s="3"/>
      <c r="L4" s="3"/>
      <c r="M4" s="20">
        <v>1</v>
      </c>
      <c r="N4" s="20">
        <f>M4+1</f>
        <v>2</v>
      </c>
      <c r="O4" s="20">
        <f t="shared" ref="O4:BT4" si="1">N4+1</f>
        <v>3</v>
      </c>
      <c r="P4" s="20">
        <f t="shared" si="1"/>
        <v>4</v>
      </c>
      <c r="Q4" s="20">
        <f t="shared" si="1"/>
        <v>5</v>
      </c>
      <c r="R4" s="20">
        <f t="shared" si="1"/>
        <v>6</v>
      </c>
      <c r="S4" s="20">
        <f t="shared" si="1"/>
        <v>7</v>
      </c>
      <c r="T4" s="20">
        <f t="shared" si="1"/>
        <v>8</v>
      </c>
      <c r="U4" s="20">
        <f t="shared" si="1"/>
        <v>9</v>
      </c>
      <c r="V4" s="20">
        <f t="shared" si="1"/>
        <v>10</v>
      </c>
      <c r="W4" s="20">
        <f t="shared" si="1"/>
        <v>11</v>
      </c>
      <c r="X4" s="20">
        <f t="shared" si="1"/>
        <v>12</v>
      </c>
      <c r="Y4" s="20">
        <f t="shared" si="1"/>
        <v>13</v>
      </c>
      <c r="Z4" s="20">
        <f t="shared" si="1"/>
        <v>14</v>
      </c>
      <c r="AA4" s="20">
        <f t="shared" si="1"/>
        <v>15</v>
      </c>
      <c r="AB4" s="20">
        <f t="shared" si="1"/>
        <v>16</v>
      </c>
      <c r="AC4" s="20">
        <f t="shared" si="1"/>
        <v>17</v>
      </c>
      <c r="AD4" s="20">
        <f t="shared" si="1"/>
        <v>18</v>
      </c>
      <c r="AE4" s="20">
        <f t="shared" si="1"/>
        <v>19</v>
      </c>
      <c r="AF4" s="20">
        <f t="shared" si="1"/>
        <v>20</v>
      </c>
      <c r="AG4" s="20">
        <f t="shared" si="1"/>
        <v>21</v>
      </c>
      <c r="AH4" s="20">
        <f t="shared" si="1"/>
        <v>22</v>
      </c>
      <c r="AI4" s="20">
        <f t="shared" si="1"/>
        <v>23</v>
      </c>
      <c r="AJ4" s="20">
        <f t="shared" si="1"/>
        <v>24</v>
      </c>
      <c r="AK4" s="20">
        <f t="shared" si="1"/>
        <v>25</v>
      </c>
      <c r="AL4" s="20">
        <f t="shared" si="1"/>
        <v>26</v>
      </c>
      <c r="AM4" s="20">
        <f t="shared" si="1"/>
        <v>27</v>
      </c>
      <c r="AN4" s="20">
        <f t="shared" si="1"/>
        <v>28</v>
      </c>
      <c r="AO4" s="20">
        <f t="shared" si="1"/>
        <v>29</v>
      </c>
      <c r="AP4" s="20">
        <f t="shared" si="1"/>
        <v>30</v>
      </c>
      <c r="AQ4" s="20">
        <f t="shared" si="1"/>
        <v>31</v>
      </c>
      <c r="AR4" s="20">
        <f t="shared" si="1"/>
        <v>32</v>
      </c>
      <c r="AS4" s="20">
        <f t="shared" si="1"/>
        <v>33</v>
      </c>
      <c r="AT4" s="20">
        <f t="shared" si="1"/>
        <v>34</v>
      </c>
      <c r="AU4" s="20">
        <f t="shared" si="1"/>
        <v>35</v>
      </c>
      <c r="AV4" s="20">
        <f t="shared" si="1"/>
        <v>36</v>
      </c>
      <c r="AW4" s="20">
        <f t="shared" si="1"/>
        <v>37</v>
      </c>
      <c r="AX4" s="20">
        <f t="shared" si="1"/>
        <v>38</v>
      </c>
      <c r="AY4" s="20">
        <f t="shared" si="1"/>
        <v>39</v>
      </c>
      <c r="AZ4" s="20">
        <f t="shared" si="1"/>
        <v>40</v>
      </c>
      <c r="BA4" s="20">
        <f t="shared" si="1"/>
        <v>41</v>
      </c>
      <c r="BB4" s="20">
        <f t="shared" si="1"/>
        <v>42</v>
      </c>
      <c r="BC4" s="20">
        <f t="shared" si="1"/>
        <v>43</v>
      </c>
      <c r="BD4" s="20">
        <f t="shared" si="1"/>
        <v>44</v>
      </c>
      <c r="BE4" s="20">
        <f t="shared" si="1"/>
        <v>45</v>
      </c>
      <c r="BF4" s="20">
        <f t="shared" si="1"/>
        <v>46</v>
      </c>
      <c r="BG4" s="20">
        <f t="shared" si="1"/>
        <v>47</v>
      </c>
      <c r="BH4" s="20">
        <f t="shared" si="1"/>
        <v>48</v>
      </c>
      <c r="BI4" s="20">
        <f t="shared" si="1"/>
        <v>49</v>
      </c>
      <c r="BJ4" s="20">
        <f t="shared" si="1"/>
        <v>50</v>
      </c>
      <c r="BK4" s="20">
        <f t="shared" si="1"/>
        <v>51</v>
      </c>
      <c r="BL4" s="20">
        <f t="shared" si="1"/>
        <v>52</v>
      </c>
      <c r="BM4" s="20">
        <f t="shared" si="1"/>
        <v>53</v>
      </c>
      <c r="BN4" s="20">
        <f t="shared" si="1"/>
        <v>54</v>
      </c>
      <c r="BO4" s="20">
        <f t="shared" si="1"/>
        <v>55</v>
      </c>
      <c r="BP4" s="20">
        <f t="shared" si="1"/>
        <v>56</v>
      </c>
      <c r="BQ4" s="20">
        <f t="shared" si="1"/>
        <v>57</v>
      </c>
      <c r="BR4" s="20">
        <f t="shared" si="1"/>
        <v>58</v>
      </c>
      <c r="BS4" s="20">
        <f t="shared" si="1"/>
        <v>59</v>
      </c>
      <c r="BT4" s="20">
        <f t="shared" si="1"/>
        <v>60</v>
      </c>
      <c r="BU4" s="11"/>
      <c r="BV4" s="20">
        <v>12</v>
      </c>
      <c r="BW4" s="20">
        <v>24</v>
      </c>
      <c r="BX4" s="20">
        <v>36</v>
      </c>
      <c r="BY4" s="20">
        <v>48</v>
      </c>
      <c r="BZ4" s="20">
        <v>60</v>
      </c>
      <c r="CA4" s="11"/>
      <c r="CB4" s="20">
        <v>12</v>
      </c>
      <c r="CC4" s="20">
        <v>24</v>
      </c>
      <c r="CD4" s="20">
        <v>36</v>
      </c>
      <c r="CE4" s="20">
        <v>48</v>
      </c>
      <c r="CF4" s="20">
        <v>60</v>
      </c>
    </row>
    <row r="5" spans="1:84" x14ac:dyDescent="0.3">
      <c r="A5" s="85" t="s">
        <v>175</v>
      </c>
      <c r="B5" s="85"/>
      <c r="C5" s="84"/>
      <c r="D5" s="84"/>
      <c r="E5" s="84"/>
      <c r="F5" s="84"/>
      <c r="G5" s="84"/>
      <c r="H5" s="84"/>
      <c r="I5" s="84"/>
      <c r="J5" s="84"/>
      <c r="K5" s="84"/>
      <c r="BU5" s="11"/>
      <c r="BV5" s="24"/>
      <c r="BW5" s="24"/>
      <c r="BX5" s="24"/>
      <c r="BY5" s="24"/>
      <c r="BZ5" s="24"/>
      <c r="CA5" s="11"/>
    </row>
    <row r="6" spans="1:84" x14ac:dyDescent="0.3">
      <c r="A6" s="84"/>
      <c r="B6" s="84" t="s">
        <v>25</v>
      </c>
      <c r="C6" s="84"/>
      <c r="D6" s="84"/>
      <c r="E6" s="84"/>
      <c r="F6" s="84"/>
      <c r="G6" s="84"/>
      <c r="H6" s="84"/>
      <c r="I6" s="84"/>
      <c r="J6" s="84"/>
      <c r="K6" s="84"/>
      <c r="M6" s="24">
        <f>'Revenue Buildup'!M18</f>
        <v>480000</v>
      </c>
      <c r="N6" s="24">
        <f>'Revenue Buildup'!N18</f>
        <v>480000</v>
      </c>
      <c r="O6" s="24">
        <f>'Revenue Buildup'!O18</f>
        <v>480000</v>
      </c>
      <c r="P6" s="24">
        <f>'Revenue Buildup'!P18</f>
        <v>720000</v>
      </c>
      <c r="Q6" s="24">
        <f>'Revenue Buildup'!Q18</f>
        <v>720000</v>
      </c>
      <c r="R6" s="24">
        <f>'Revenue Buildup'!R18</f>
        <v>720000</v>
      </c>
      <c r="S6" s="24">
        <f>'Revenue Buildup'!S18</f>
        <v>1560000</v>
      </c>
      <c r="T6" s="24">
        <f>'Revenue Buildup'!T18</f>
        <v>1560000</v>
      </c>
      <c r="U6" s="24">
        <f>'Revenue Buildup'!U18</f>
        <v>1560000</v>
      </c>
      <c r="V6" s="24">
        <f>'Revenue Buildup'!V18</f>
        <v>2280000</v>
      </c>
      <c r="W6" s="24">
        <f>'Revenue Buildup'!W18</f>
        <v>2280000</v>
      </c>
      <c r="X6" s="24">
        <f>'Revenue Buildup'!X18</f>
        <v>2280000</v>
      </c>
      <c r="Y6" s="24">
        <f>'Revenue Buildup'!Y18</f>
        <v>2952000</v>
      </c>
      <c r="Z6" s="24">
        <f>'Revenue Buildup'!Z18</f>
        <v>2952000</v>
      </c>
      <c r="AA6" s="24">
        <f>'Revenue Buildup'!AA18</f>
        <v>2952000</v>
      </c>
      <c r="AB6" s="24">
        <f>'Revenue Buildup'!AB18</f>
        <v>3576000</v>
      </c>
      <c r="AC6" s="24">
        <f>'Revenue Buildup'!AC18</f>
        <v>3576000</v>
      </c>
      <c r="AD6" s="24">
        <f>'Revenue Buildup'!AD18</f>
        <v>3576000</v>
      </c>
      <c r="AE6" s="24">
        <f>'Revenue Buildup'!AE18</f>
        <v>7296000</v>
      </c>
      <c r="AF6" s="24">
        <f>'Revenue Buildup'!AF18</f>
        <v>7296000</v>
      </c>
      <c r="AG6" s="24">
        <f>'Revenue Buildup'!AG18</f>
        <v>7296000</v>
      </c>
      <c r="AH6" s="24">
        <f>'Revenue Buildup'!AH18</f>
        <v>8472000</v>
      </c>
      <c r="AI6" s="24">
        <f>'Revenue Buildup'!AI18</f>
        <v>8472000</v>
      </c>
      <c r="AJ6" s="24">
        <f>'Revenue Buildup'!AJ18</f>
        <v>8472000</v>
      </c>
      <c r="AK6" s="24">
        <f>'Revenue Buildup'!AK18</f>
        <v>9120000</v>
      </c>
      <c r="AL6" s="24">
        <f>'Revenue Buildup'!AL18</f>
        <v>9120000</v>
      </c>
      <c r="AM6" s="24">
        <f>'Revenue Buildup'!AM18</f>
        <v>9120000</v>
      </c>
      <c r="AN6" s="24">
        <f>'Revenue Buildup'!AN18</f>
        <v>9648000</v>
      </c>
      <c r="AO6" s="24">
        <f>'Revenue Buildup'!AO18</f>
        <v>9648000</v>
      </c>
      <c r="AP6" s="24">
        <f>'Revenue Buildup'!AP18</f>
        <v>9648000</v>
      </c>
      <c r="AQ6" s="24">
        <f>'Revenue Buildup'!AQ18</f>
        <v>12600000</v>
      </c>
      <c r="AR6" s="24">
        <f>'Revenue Buildup'!AR18</f>
        <v>12600000</v>
      </c>
      <c r="AS6" s="24">
        <f>'Revenue Buildup'!AS18</f>
        <v>12600000</v>
      </c>
      <c r="AT6" s="24">
        <f>'Revenue Buildup'!AT18</f>
        <v>13272000</v>
      </c>
      <c r="AU6" s="24">
        <f>'Revenue Buildup'!AU18</f>
        <v>13272000</v>
      </c>
      <c r="AV6" s="24">
        <f>'Revenue Buildup'!AV18</f>
        <v>13272000</v>
      </c>
      <c r="AW6" s="24">
        <f>'Revenue Buildup'!AW18</f>
        <v>14904000</v>
      </c>
      <c r="AX6" s="24">
        <f>'Revenue Buildup'!AX18</f>
        <v>14904000</v>
      </c>
      <c r="AY6" s="24">
        <f>'Revenue Buildup'!AY18</f>
        <v>14904000</v>
      </c>
      <c r="AZ6" s="24">
        <f>'Revenue Buildup'!AZ18</f>
        <v>15408000</v>
      </c>
      <c r="BA6" s="24">
        <f>'Revenue Buildup'!BA18</f>
        <v>15408000</v>
      </c>
      <c r="BB6" s="24">
        <f>'Revenue Buildup'!BB18</f>
        <v>15408000</v>
      </c>
      <c r="BC6" s="24">
        <f>'Revenue Buildup'!BC18</f>
        <v>15936000</v>
      </c>
      <c r="BD6" s="24">
        <f>'Revenue Buildup'!BD18</f>
        <v>15936000</v>
      </c>
      <c r="BE6" s="24">
        <f>'Revenue Buildup'!BE18</f>
        <v>15936000</v>
      </c>
      <c r="BF6" s="24">
        <f>'Revenue Buildup'!BF18</f>
        <v>16440000</v>
      </c>
      <c r="BG6" s="24">
        <f>'Revenue Buildup'!BG18</f>
        <v>16440000</v>
      </c>
      <c r="BH6" s="24">
        <f>'Revenue Buildup'!BH18</f>
        <v>16440000</v>
      </c>
      <c r="BI6" s="24">
        <f>'Revenue Buildup'!BI18</f>
        <v>18648000</v>
      </c>
      <c r="BJ6" s="24">
        <f>'Revenue Buildup'!BJ18</f>
        <v>18648000</v>
      </c>
      <c r="BK6" s="24">
        <f>'Revenue Buildup'!BK18</f>
        <v>18648000</v>
      </c>
      <c r="BL6" s="24">
        <f>'Revenue Buildup'!BL18</f>
        <v>19320000</v>
      </c>
      <c r="BM6" s="24">
        <f>'Revenue Buildup'!BM18</f>
        <v>19320000</v>
      </c>
      <c r="BN6" s="24">
        <f>'Revenue Buildup'!BN18</f>
        <v>19320000</v>
      </c>
      <c r="BO6" s="24">
        <f>'Revenue Buildup'!BO18</f>
        <v>19824000</v>
      </c>
      <c r="BP6" s="24">
        <f>'Revenue Buildup'!BP18</f>
        <v>19824000</v>
      </c>
      <c r="BQ6" s="24">
        <f>'Revenue Buildup'!BQ18</f>
        <v>19824000</v>
      </c>
      <c r="BR6" s="24">
        <f>'Revenue Buildup'!BR18</f>
        <v>20352000</v>
      </c>
      <c r="BS6" s="24">
        <f>'Revenue Buildup'!BS18</f>
        <v>20352000</v>
      </c>
      <c r="BT6" s="24">
        <f>'Revenue Buildup'!BT18</f>
        <v>20352000</v>
      </c>
      <c r="BU6" s="11"/>
      <c r="BV6" s="37">
        <f t="shared" ref="BV6:BZ12" si="2">SUMIF($M$3:$BT$3,BV$3,$M6:$BT6)</f>
        <v>15120000</v>
      </c>
      <c r="BW6" s="37">
        <f t="shared" si="2"/>
        <v>66888000</v>
      </c>
      <c r="BX6" s="37">
        <f t="shared" si="2"/>
        <v>133920000</v>
      </c>
      <c r="BY6" s="37">
        <f t="shared" si="2"/>
        <v>188064000</v>
      </c>
      <c r="BZ6" s="37">
        <f t="shared" si="2"/>
        <v>234432000</v>
      </c>
      <c r="CA6" s="11"/>
      <c r="CB6" s="230"/>
    </row>
    <row r="7" spans="1:84" x14ac:dyDescent="0.3">
      <c r="A7" s="84" t="s">
        <v>176</v>
      </c>
      <c r="B7" s="136" t="s">
        <v>11</v>
      </c>
      <c r="C7" s="136"/>
      <c r="D7" s="84"/>
      <c r="E7" s="84"/>
      <c r="F7" s="84"/>
      <c r="G7" s="84"/>
      <c r="H7" s="84"/>
      <c r="I7" s="84"/>
      <c r="J7" s="84"/>
      <c r="K7" s="84"/>
      <c r="M7" s="24">
        <f>'Revenue Buildup'!M20</f>
        <v>40000</v>
      </c>
      <c r="N7" s="24">
        <f>'Revenue Buildup'!N20</f>
        <v>80000</v>
      </c>
      <c r="O7" s="24">
        <f>'Revenue Buildup'!O20</f>
        <v>120000</v>
      </c>
      <c r="P7" s="24">
        <f>'Revenue Buildup'!P20</f>
        <v>180000</v>
      </c>
      <c r="Q7" s="24">
        <f>'Revenue Buildup'!Q20</f>
        <v>240000</v>
      </c>
      <c r="R7" s="24">
        <f>'Revenue Buildup'!R20</f>
        <v>300000</v>
      </c>
      <c r="S7" s="24">
        <f>'Revenue Buildup'!S20</f>
        <v>430000</v>
      </c>
      <c r="T7" s="24">
        <f>'Revenue Buildup'!T20</f>
        <v>560000</v>
      </c>
      <c r="U7" s="24">
        <f>'Revenue Buildup'!U20</f>
        <v>690000</v>
      </c>
      <c r="V7" s="24">
        <f>'Revenue Buildup'!V20</f>
        <v>880000</v>
      </c>
      <c r="W7" s="24">
        <f>'Revenue Buildup'!W20</f>
        <v>1070000</v>
      </c>
      <c r="X7" s="24">
        <f>'Revenue Buildup'!X20</f>
        <v>1260000</v>
      </c>
      <c r="Y7" s="24">
        <f>'Revenue Buildup'!Y20</f>
        <v>1466000</v>
      </c>
      <c r="Z7" s="24">
        <f>'Revenue Buildup'!Z20</f>
        <v>1672000</v>
      </c>
      <c r="AA7" s="24">
        <f>'Revenue Buildup'!AA20</f>
        <v>1878000</v>
      </c>
      <c r="AB7" s="24">
        <f>'Revenue Buildup'!AB20</f>
        <v>2116000</v>
      </c>
      <c r="AC7" s="24">
        <f>'Revenue Buildup'!AC20</f>
        <v>2354000</v>
      </c>
      <c r="AD7" s="24">
        <f>'Revenue Buildup'!AD20</f>
        <v>2592000</v>
      </c>
      <c r="AE7" s="24">
        <f>'Revenue Buildup'!AE20</f>
        <v>3070000</v>
      </c>
      <c r="AF7" s="24">
        <f>'Revenue Buildup'!AF20</f>
        <v>3548000</v>
      </c>
      <c r="AG7" s="24">
        <f>'Revenue Buildup'!AG20</f>
        <v>4026000</v>
      </c>
      <c r="AH7" s="24">
        <f>'Revenue Buildup'!AH20</f>
        <v>4542000</v>
      </c>
      <c r="AI7" s="24">
        <f>'Revenue Buildup'!AI20</f>
        <v>5058000</v>
      </c>
      <c r="AJ7" s="24">
        <f>'Revenue Buildup'!AJ20</f>
        <v>5574000</v>
      </c>
      <c r="AK7" s="24">
        <f>'Revenue Buildup'!AK20</f>
        <v>6088000</v>
      </c>
      <c r="AL7" s="24">
        <f>'Revenue Buildup'!AL20</f>
        <v>6602000</v>
      </c>
      <c r="AM7" s="24">
        <f>'Revenue Buildup'!AM20</f>
        <v>7116000</v>
      </c>
      <c r="AN7" s="24">
        <f>'Revenue Buildup'!AN20</f>
        <v>7622000</v>
      </c>
      <c r="AO7" s="24">
        <f>'Revenue Buildup'!AO20</f>
        <v>8128000</v>
      </c>
      <c r="AP7" s="24">
        <f>'Revenue Buildup'!AP20</f>
        <v>8634000</v>
      </c>
      <c r="AQ7" s="24">
        <f>'Revenue Buildup'!AQ20</f>
        <v>9076000</v>
      </c>
      <c r="AR7" s="24">
        <f>'Revenue Buildup'!AR20</f>
        <v>9518000</v>
      </c>
      <c r="AS7" s="24">
        <f>'Revenue Buildup'!AS20</f>
        <v>9960000</v>
      </c>
      <c r="AT7" s="24">
        <f>'Revenue Buildup'!AT20</f>
        <v>10360000</v>
      </c>
      <c r="AU7" s="24">
        <f>'Revenue Buildup'!AU20</f>
        <v>10760000</v>
      </c>
      <c r="AV7" s="24">
        <f>'Revenue Buildup'!AV20</f>
        <v>11160000</v>
      </c>
      <c r="AW7" s="24">
        <f>'Revenue Buildup'!AW20</f>
        <v>11642000</v>
      </c>
      <c r="AX7" s="24">
        <f>'Revenue Buildup'!AX20</f>
        <v>12124000</v>
      </c>
      <c r="AY7" s="24">
        <f>'Revenue Buildup'!AY20</f>
        <v>12606000</v>
      </c>
      <c r="AZ7" s="24">
        <f>'Revenue Buildup'!AZ20</f>
        <v>13086000</v>
      </c>
      <c r="BA7" s="24">
        <f>'Revenue Buildup'!BA20</f>
        <v>13566000</v>
      </c>
      <c r="BB7" s="24">
        <f>'Revenue Buildup'!BB20</f>
        <v>14046000</v>
      </c>
      <c r="BC7" s="24">
        <f>'Revenue Buildup'!BC20</f>
        <v>14324000</v>
      </c>
      <c r="BD7" s="24">
        <f>'Revenue Buildup'!BD20</f>
        <v>14602000</v>
      </c>
      <c r="BE7" s="24">
        <f>'Revenue Buildup'!BE20</f>
        <v>14880000</v>
      </c>
      <c r="BF7" s="24">
        <f>'Revenue Buildup'!BF20</f>
        <v>15144000</v>
      </c>
      <c r="BG7" s="24">
        <f>'Revenue Buildup'!BG20</f>
        <v>15408000</v>
      </c>
      <c r="BH7" s="24">
        <f>'Revenue Buildup'!BH20</f>
        <v>15672000</v>
      </c>
      <c r="BI7" s="24">
        <f>'Revenue Buildup'!BI20</f>
        <v>15984000</v>
      </c>
      <c r="BJ7" s="24">
        <f>'Revenue Buildup'!BJ20</f>
        <v>16296000</v>
      </c>
      <c r="BK7" s="24">
        <f>'Revenue Buildup'!BK20</f>
        <v>16608000</v>
      </c>
      <c r="BL7" s="24">
        <f>'Revenue Buildup'!BL20</f>
        <v>16934000</v>
      </c>
      <c r="BM7" s="24">
        <f>'Revenue Buildup'!BM20</f>
        <v>17260000</v>
      </c>
      <c r="BN7" s="24">
        <f>'Revenue Buildup'!BN20</f>
        <v>17586000</v>
      </c>
      <c r="BO7" s="24">
        <f>'Revenue Buildup'!BO20</f>
        <v>17910000</v>
      </c>
      <c r="BP7" s="24">
        <f>'Revenue Buildup'!BP20</f>
        <v>18234000</v>
      </c>
      <c r="BQ7" s="24">
        <f>'Revenue Buildup'!BQ20</f>
        <v>18558000</v>
      </c>
      <c r="BR7" s="24">
        <f>'Revenue Buildup'!BR20</f>
        <v>18884000</v>
      </c>
      <c r="BS7" s="24">
        <f>'Revenue Buildup'!BS20</f>
        <v>19210000</v>
      </c>
      <c r="BT7" s="24">
        <f>'Revenue Buildup'!BT20</f>
        <v>19536000</v>
      </c>
      <c r="BU7" s="11"/>
      <c r="BV7" s="37">
        <f t="shared" si="2"/>
        <v>5850000</v>
      </c>
      <c r="BW7" s="37">
        <f t="shared" si="2"/>
        <v>37896000</v>
      </c>
      <c r="BX7" s="37">
        <f t="shared" si="2"/>
        <v>105024000</v>
      </c>
      <c r="BY7" s="37">
        <f t="shared" si="2"/>
        <v>167100000</v>
      </c>
      <c r="BZ7" s="37">
        <f t="shared" si="2"/>
        <v>213000000</v>
      </c>
      <c r="CA7" s="11"/>
      <c r="CB7" s="230">
        <f>BV7/BV$7</f>
        <v>1</v>
      </c>
      <c r="CC7" s="230">
        <f t="shared" ref="CC7:CF7" si="3">BW7/BW$7</f>
        <v>1</v>
      </c>
      <c r="CD7" s="230">
        <f t="shared" si="3"/>
        <v>1</v>
      </c>
      <c r="CE7" s="230">
        <f t="shared" si="3"/>
        <v>1</v>
      </c>
      <c r="CF7" s="230">
        <f t="shared" si="3"/>
        <v>1</v>
      </c>
    </row>
    <row r="8" spans="1:84" x14ac:dyDescent="0.3">
      <c r="A8" s="85" t="s">
        <v>177</v>
      </c>
      <c r="B8" s="85"/>
      <c r="C8" s="84"/>
      <c r="D8" s="84"/>
      <c r="E8" s="84"/>
      <c r="F8" s="84"/>
      <c r="G8" s="84"/>
      <c r="H8" s="84"/>
      <c r="I8" s="84"/>
      <c r="J8" s="84"/>
      <c r="K8" s="84"/>
      <c r="BU8" s="11"/>
      <c r="BV8" s="24"/>
      <c r="BW8" s="253">
        <f>BW7/BV7-1</f>
        <v>5.4779487179487178</v>
      </c>
      <c r="BX8" s="253">
        <f t="shared" ref="BX8:BZ8" si="4">BX7/BW7-1</f>
        <v>1.771374287523749</v>
      </c>
      <c r="BY8" s="253">
        <f t="shared" si="4"/>
        <v>0.59106489945155394</v>
      </c>
      <c r="BZ8" s="253">
        <f t="shared" si="4"/>
        <v>0.27468581687612215</v>
      </c>
      <c r="CA8" s="11"/>
    </row>
    <row r="9" spans="1:84" x14ac:dyDescent="0.3">
      <c r="A9" s="84" t="s">
        <v>178</v>
      </c>
      <c r="B9" s="84" t="str">
        <f>'Cost Buildup'!A6</f>
        <v>Hosting &amp; Infrastructure Costs</v>
      </c>
      <c r="C9" s="84"/>
      <c r="D9" s="85"/>
      <c r="E9" s="85"/>
      <c r="F9" s="85"/>
      <c r="G9" s="84"/>
      <c r="H9" s="84"/>
      <c r="I9" s="84"/>
      <c r="J9" s="84"/>
      <c r="K9" s="84"/>
      <c r="M9" s="148">
        <f>'Cost Buildup'!M6</f>
        <v>62580</v>
      </c>
      <c r="N9" s="139">
        <f>'Cost Buildup'!N6</f>
        <v>71907.457627118652</v>
      </c>
      <c r="O9" s="139">
        <f>'Cost Buildup'!O6</f>
        <v>81234.915254237305</v>
      </c>
      <c r="P9" s="139">
        <f>'Cost Buildup'!P6</f>
        <v>90562.372881355943</v>
      </c>
      <c r="Q9" s="139">
        <f>'Cost Buildup'!Q6</f>
        <v>99889.830508474581</v>
      </c>
      <c r="R9" s="139">
        <f>'Cost Buildup'!R6</f>
        <v>109217.28813559323</v>
      </c>
      <c r="S9" s="139">
        <f>'Cost Buildup'!S6</f>
        <v>118544.74576271187</v>
      </c>
      <c r="T9" s="139">
        <f>'Cost Buildup'!T6</f>
        <v>127872.20338983052</v>
      </c>
      <c r="U9" s="139">
        <f>'Cost Buildup'!U6</f>
        <v>137199.66101694916</v>
      </c>
      <c r="V9" s="139">
        <f>'Cost Buildup'!V6</f>
        <v>146527.11864406781</v>
      </c>
      <c r="W9" s="139">
        <f>'Cost Buildup'!W6</f>
        <v>155854.57627118647</v>
      </c>
      <c r="X9" s="139">
        <f>'Cost Buildup'!X6</f>
        <v>165182.03389830512</v>
      </c>
      <c r="Y9" s="139">
        <f>'Cost Buildup'!Y6</f>
        <v>174509.49152542374</v>
      </c>
      <c r="Z9" s="139">
        <f>'Cost Buildup'!Z6</f>
        <v>183836.94915254237</v>
      </c>
      <c r="AA9" s="139">
        <f>'Cost Buildup'!AA6</f>
        <v>193164.40677966099</v>
      </c>
      <c r="AB9" s="139">
        <f>'Cost Buildup'!AB6</f>
        <v>202491.86440677961</v>
      </c>
      <c r="AC9" s="139">
        <f>'Cost Buildup'!AC6</f>
        <v>211819.32203389826</v>
      </c>
      <c r="AD9" s="139">
        <f>'Cost Buildup'!AD6</f>
        <v>221146.77966101689</v>
      </c>
      <c r="AE9" s="139">
        <f>'Cost Buildup'!AE6</f>
        <v>230474.23728813554</v>
      </c>
      <c r="AF9" s="139">
        <f>'Cost Buildup'!AF6</f>
        <v>239801.69491525416</v>
      </c>
      <c r="AG9" s="139">
        <f>'Cost Buildup'!AG6</f>
        <v>249129.15254237282</v>
      </c>
      <c r="AH9" s="139">
        <f>'Cost Buildup'!AH6</f>
        <v>258456.61016949144</v>
      </c>
      <c r="AI9" s="139">
        <f>'Cost Buildup'!AI6</f>
        <v>267784.06779661006</v>
      </c>
      <c r="AJ9" s="139">
        <f>'Cost Buildup'!AJ6</f>
        <v>277111.52542372869</v>
      </c>
      <c r="AK9" s="139">
        <f>'Cost Buildup'!AK6</f>
        <v>286438.98305084737</v>
      </c>
      <c r="AL9" s="139">
        <f>'Cost Buildup'!AL6</f>
        <v>295766.44067796599</v>
      </c>
      <c r="AM9" s="139">
        <f>'Cost Buildup'!AM6</f>
        <v>305093.89830508467</v>
      </c>
      <c r="AN9" s="139">
        <f>'Cost Buildup'!AN6</f>
        <v>314421.35593220324</v>
      </c>
      <c r="AO9" s="139">
        <f>'Cost Buildup'!AO6</f>
        <v>323748.81355932192</v>
      </c>
      <c r="AP9" s="139">
        <f>'Cost Buildup'!AP6</f>
        <v>333076.2711864406</v>
      </c>
      <c r="AQ9" s="139">
        <f>'Cost Buildup'!AQ6</f>
        <v>342403.72881355917</v>
      </c>
      <c r="AR9" s="139">
        <f>'Cost Buildup'!AR6</f>
        <v>351731.18644067785</v>
      </c>
      <c r="AS9" s="139">
        <f>'Cost Buildup'!AS6</f>
        <v>361058.64406779647</v>
      </c>
      <c r="AT9" s="139">
        <f>'Cost Buildup'!AT6</f>
        <v>370386.10169491515</v>
      </c>
      <c r="AU9" s="139">
        <f>'Cost Buildup'!AU6</f>
        <v>379713.55932203372</v>
      </c>
      <c r="AV9" s="139">
        <f>'Cost Buildup'!AV6</f>
        <v>389041.0169491524</v>
      </c>
      <c r="AW9" s="139">
        <f>'Cost Buildup'!AW6</f>
        <v>398368.47457627102</v>
      </c>
      <c r="AX9" s="139">
        <f>'Cost Buildup'!AX6</f>
        <v>407695.93220338965</v>
      </c>
      <c r="AY9" s="139">
        <f>'Cost Buildup'!AY6</f>
        <v>417023.38983050827</v>
      </c>
      <c r="AZ9" s="139">
        <f>'Cost Buildup'!AZ6</f>
        <v>426350.84745762695</v>
      </c>
      <c r="BA9" s="139">
        <f>'Cost Buildup'!BA6</f>
        <v>435678.30508474557</v>
      </c>
      <c r="BB9" s="139">
        <f>'Cost Buildup'!BB6</f>
        <v>445005.76271186414</v>
      </c>
      <c r="BC9" s="139">
        <f>'Cost Buildup'!BC6</f>
        <v>454333.22033898282</v>
      </c>
      <c r="BD9" s="139">
        <f>'Cost Buildup'!BD6</f>
        <v>463660.6779661015</v>
      </c>
      <c r="BE9" s="139">
        <f>'Cost Buildup'!BE6</f>
        <v>472988.13559322013</v>
      </c>
      <c r="BF9" s="139">
        <f>'Cost Buildup'!BF6</f>
        <v>482315.59322033869</v>
      </c>
      <c r="BG9" s="139">
        <f>'Cost Buildup'!BG6</f>
        <v>491643.05084745737</v>
      </c>
      <c r="BH9" s="139">
        <f>'Cost Buildup'!BH6</f>
        <v>500970.50847457605</v>
      </c>
      <c r="BI9" s="139">
        <f>'Cost Buildup'!BI6</f>
        <v>510297.96610169462</v>
      </c>
      <c r="BJ9" s="139">
        <f>'Cost Buildup'!BJ6</f>
        <v>519625.42372881324</v>
      </c>
      <c r="BK9" s="139">
        <f>'Cost Buildup'!BK6</f>
        <v>528952.88135593187</v>
      </c>
      <c r="BL9" s="139">
        <f>'Cost Buildup'!BL6</f>
        <v>538280.33898305055</v>
      </c>
      <c r="BM9" s="139">
        <f>'Cost Buildup'!BM6</f>
        <v>547607.79661016923</v>
      </c>
      <c r="BN9" s="139">
        <f>'Cost Buildup'!BN6</f>
        <v>556935.25423728779</v>
      </c>
      <c r="BO9" s="139">
        <f>'Cost Buildup'!BO6</f>
        <v>566262.71186440636</v>
      </c>
      <c r="BP9" s="139">
        <f>'Cost Buildup'!BP6</f>
        <v>575590.16949152516</v>
      </c>
      <c r="BQ9" s="139">
        <f>'Cost Buildup'!BQ6</f>
        <v>584917.62711864372</v>
      </c>
      <c r="BR9" s="139">
        <f>'Cost Buildup'!BR6</f>
        <v>594245.08474576229</v>
      </c>
      <c r="BS9" s="139">
        <f>'Cost Buildup'!BS6</f>
        <v>603572.54237288109</v>
      </c>
      <c r="BT9" s="139">
        <f>'Cost Buildup'!BT6</f>
        <v>612899.99999999965</v>
      </c>
      <c r="BU9" s="11"/>
      <c r="BV9" s="37">
        <f t="shared" si="2"/>
        <v>1366572.2033898309</v>
      </c>
      <c r="BW9" s="37">
        <f t="shared" si="2"/>
        <v>2709726.1016949145</v>
      </c>
      <c r="BX9" s="37">
        <f t="shared" si="2"/>
        <v>4052879.9999999986</v>
      </c>
      <c r="BY9" s="37">
        <f t="shared" si="2"/>
        <v>5396033.8983050836</v>
      </c>
      <c r="BZ9" s="37">
        <f t="shared" si="2"/>
        <v>6739187.7966101654</v>
      </c>
      <c r="CA9" s="11"/>
      <c r="CB9" s="230">
        <f>BV9/BV$7</f>
        <v>0.23360208604954374</v>
      </c>
      <c r="CC9" s="230">
        <f t="shared" ref="CC9" si="5">BW9/BW$7</f>
        <v>7.15042775410311E-2</v>
      </c>
      <c r="CD9" s="230">
        <f t="shared" ref="CD9" si="6">BX9/BX$7</f>
        <v>3.8590036563071285E-2</v>
      </c>
      <c r="CE9" s="230">
        <f t="shared" ref="CE9" si="7">BY9/BY$7</f>
        <v>3.2292243556583382E-2</v>
      </c>
      <c r="CF9" s="230">
        <f t="shared" ref="CF9" si="8">BZ9/BZ$7</f>
        <v>3.1639379326808291E-2</v>
      </c>
    </row>
    <row r="10" spans="1:84" x14ac:dyDescent="0.3">
      <c r="A10" s="84" t="s">
        <v>178</v>
      </c>
      <c r="B10" s="84" t="str">
        <f>'Cost Buildup'!A10</f>
        <v>Third-Party Software &amp; API Costs</v>
      </c>
      <c r="C10" s="84"/>
      <c r="D10" s="85"/>
      <c r="E10" s="85"/>
      <c r="F10" s="85"/>
      <c r="G10" s="84"/>
      <c r="H10" s="84"/>
      <c r="I10" s="84"/>
      <c r="J10" s="84"/>
      <c r="K10" s="84"/>
      <c r="M10" s="148">
        <f>'Cost Buildup'!M10</f>
        <v>12200</v>
      </c>
      <c r="N10" s="139">
        <f>'Cost Buildup'!N10</f>
        <v>12538.983050847459</v>
      </c>
      <c r="O10" s="139">
        <f>'Cost Buildup'!O10</f>
        <v>12877.966101694916</v>
      </c>
      <c r="P10" s="139">
        <f>'Cost Buildup'!P10</f>
        <v>16816.949152542373</v>
      </c>
      <c r="Q10" s="139">
        <f>'Cost Buildup'!Q10</f>
        <v>17155.932203389832</v>
      </c>
      <c r="R10" s="139">
        <f>'Cost Buildup'!R10</f>
        <v>17494.91525423729</v>
      </c>
      <c r="S10" s="139">
        <f>'Cost Buildup'!S10</f>
        <v>30433.898305084746</v>
      </c>
      <c r="T10" s="139">
        <f>'Cost Buildup'!T10</f>
        <v>30772.881355932204</v>
      </c>
      <c r="U10" s="139">
        <f>'Cost Buildup'!U10</f>
        <v>31111.864406779663</v>
      </c>
      <c r="V10" s="139">
        <f>'Cost Buildup'!V10</f>
        <v>42250.847457627118</v>
      </c>
      <c r="W10" s="139">
        <f>'Cost Buildup'!W10</f>
        <v>42589.830508474581</v>
      </c>
      <c r="X10" s="139">
        <f>'Cost Buildup'!X10</f>
        <v>42928.813559322036</v>
      </c>
      <c r="Y10" s="139">
        <f>'Cost Buildup'!Y10</f>
        <v>53347.796610169491</v>
      </c>
      <c r="Z10" s="139">
        <f>'Cost Buildup'!Z10</f>
        <v>53686.779661016946</v>
      </c>
      <c r="AA10" s="139">
        <f>'Cost Buildup'!AA10</f>
        <v>54025.762711864409</v>
      </c>
      <c r="AB10" s="139">
        <f>'Cost Buildup'!AB10</f>
        <v>63724.745762711864</v>
      </c>
      <c r="AC10" s="139">
        <f>'Cost Buildup'!AC10</f>
        <v>64063.728813559319</v>
      </c>
      <c r="AD10" s="139">
        <f>'Cost Buildup'!AD10</f>
        <v>64402.711864406781</v>
      </c>
      <c r="AE10" s="139">
        <f>'Cost Buildup'!AE10</f>
        <v>120541.69491525424</v>
      </c>
      <c r="AF10" s="139">
        <f>'Cost Buildup'!AF10</f>
        <v>120880.67796610169</v>
      </c>
      <c r="AG10" s="139">
        <f>'Cost Buildup'!AG10</f>
        <v>121219.66101694915</v>
      </c>
      <c r="AH10" s="139">
        <f>'Cost Buildup'!AH10</f>
        <v>139198.64406779662</v>
      </c>
      <c r="AI10" s="139">
        <f>'Cost Buildup'!AI10</f>
        <v>139537.62711864407</v>
      </c>
      <c r="AJ10" s="139">
        <f>'Cost Buildup'!AJ10</f>
        <v>139876.61016949153</v>
      </c>
      <c r="AK10" s="139">
        <f>'Cost Buildup'!AK10</f>
        <v>149935.59322033898</v>
      </c>
      <c r="AL10" s="139">
        <f>'Cost Buildup'!AL10</f>
        <v>150274.57627118644</v>
      </c>
      <c r="AM10" s="139">
        <f>'Cost Buildup'!AM10</f>
        <v>150613.55932203389</v>
      </c>
      <c r="AN10" s="139">
        <f>'Cost Buildup'!AN10</f>
        <v>158872.54237288135</v>
      </c>
      <c r="AO10" s="139">
        <f>'Cost Buildup'!AO10</f>
        <v>159211.5254237288</v>
      </c>
      <c r="AP10" s="139">
        <f>'Cost Buildup'!AP10</f>
        <v>159550.50847457626</v>
      </c>
      <c r="AQ10" s="139">
        <f>'Cost Buildup'!AQ10</f>
        <v>204169.49152542371</v>
      </c>
      <c r="AR10" s="139">
        <f>'Cost Buildup'!AR10</f>
        <v>204508.47457627117</v>
      </c>
      <c r="AS10" s="139">
        <f>'Cost Buildup'!AS10</f>
        <v>204847.45762711862</v>
      </c>
      <c r="AT10" s="139">
        <f>'Cost Buildup'!AT10</f>
        <v>215266.44067796608</v>
      </c>
      <c r="AU10" s="139">
        <f>'Cost Buildup'!AU10</f>
        <v>215605.42372881353</v>
      </c>
      <c r="AV10" s="139">
        <f>'Cost Buildup'!AV10</f>
        <v>215944.40677966102</v>
      </c>
      <c r="AW10" s="139">
        <f>'Cost Buildup'!AW10</f>
        <v>240763.38983050847</v>
      </c>
      <c r="AX10" s="139">
        <f>'Cost Buildup'!AX10</f>
        <v>241102.37288135593</v>
      </c>
      <c r="AY10" s="139">
        <f>'Cost Buildup'!AY10</f>
        <v>241441.35593220338</v>
      </c>
      <c r="AZ10" s="139">
        <f>'Cost Buildup'!AZ10</f>
        <v>249340.33898305084</v>
      </c>
      <c r="BA10" s="139">
        <f>'Cost Buildup'!BA10</f>
        <v>249679.32203389829</v>
      </c>
      <c r="BB10" s="139">
        <f>'Cost Buildup'!BB10</f>
        <v>250018.30508474575</v>
      </c>
      <c r="BC10" s="139">
        <f>'Cost Buildup'!BC10</f>
        <v>258277.28813559323</v>
      </c>
      <c r="BD10" s="139">
        <f>'Cost Buildup'!BD10</f>
        <v>258616.27118644069</v>
      </c>
      <c r="BE10" s="139">
        <f>'Cost Buildup'!BE10</f>
        <v>258955.25423728814</v>
      </c>
      <c r="BF10" s="139">
        <f>'Cost Buildup'!BF10</f>
        <v>266854.23728813557</v>
      </c>
      <c r="BG10" s="139">
        <f>'Cost Buildup'!BG10</f>
        <v>267193.22033898305</v>
      </c>
      <c r="BH10" s="139">
        <f>'Cost Buildup'!BH10</f>
        <v>267532.20338983054</v>
      </c>
      <c r="BI10" s="139">
        <f>'Cost Buildup'!BI10</f>
        <v>300991.18644067796</v>
      </c>
      <c r="BJ10" s="139">
        <f>'Cost Buildup'!BJ10</f>
        <v>301330.16949152545</v>
      </c>
      <c r="BK10" s="139">
        <f>'Cost Buildup'!BK10</f>
        <v>301669.15254237287</v>
      </c>
      <c r="BL10" s="139">
        <f>'Cost Buildup'!BL10</f>
        <v>312088.13559322036</v>
      </c>
      <c r="BM10" s="139">
        <f>'Cost Buildup'!BM10</f>
        <v>312427.11864406778</v>
      </c>
      <c r="BN10" s="139">
        <f>'Cost Buildup'!BN10</f>
        <v>312766.10169491527</v>
      </c>
      <c r="BO10" s="139">
        <f>'Cost Buildup'!BO10</f>
        <v>320665.08474576275</v>
      </c>
      <c r="BP10" s="139">
        <f>'Cost Buildup'!BP10</f>
        <v>321004.06779661018</v>
      </c>
      <c r="BQ10" s="139">
        <f>'Cost Buildup'!BQ10</f>
        <v>321343.05084745766</v>
      </c>
      <c r="BR10" s="139">
        <f>'Cost Buildup'!BR10</f>
        <v>329602.03389830509</v>
      </c>
      <c r="BS10" s="139">
        <f>'Cost Buildup'!BS10</f>
        <v>329941.01694915257</v>
      </c>
      <c r="BT10" s="139">
        <f>'Cost Buildup'!BT10</f>
        <v>330280</v>
      </c>
      <c r="BU10" s="11"/>
      <c r="BV10" s="37">
        <f t="shared" si="2"/>
        <v>309172.88135593222</v>
      </c>
      <c r="BW10" s="37">
        <f t="shared" si="2"/>
        <v>1134506.4406779662</v>
      </c>
      <c r="BX10" s="37">
        <f t="shared" si="2"/>
        <v>2188799.9999999995</v>
      </c>
      <c r="BY10" s="37">
        <f t="shared" si="2"/>
        <v>3049773.5593220335</v>
      </c>
      <c r="BZ10" s="37">
        <f t="shared" si="2"/>
        <v>3794107.118644068</v>
      </c>
      <c r="CA10" s="11"/>
      <c r="CB10" s="230">
        <f>BV10/BV$7</f>
        <v>5.2850065189048244E-2</v>
      </c>
      <c r="CC10" s="230">
        <f t="shared" ref="CC10" si="9">BW10/BW$7</f>
        <v>2.9937366494563179E-2</v>
      </c>
      <c r="CD10" s="230">
        <f t="shared" ref="CD10" si="10">BX10/BX$7</f>
        <v>2.0840950639853743E-2</v>
      </c>
      <c r="CE10" s="230">
        <f t="shared" ref="CE10" si="11">BY10/BY$7</f>
        <v>1.8251188266439459E-2</v>
      </c>
      <c r="CF10" s="230">
        <f t="shared" ref="CF10" si="12">BZ10/BZ$7</f>
        <v>1.7812709477202197E-2</v>
      </c>
    </row>
    <row r="11" spans="1:84" x14ac:dyDescent="0.3">
      <c r="A11" s="84" t="s">
        <v>178</v>
      </c>
      <c r="B11" s="84" t="str">
        <f>'Cost Buildup'!A17</f>
        <v>Customer Support</v>
      </c>
      <c r="C11" s="84"/>
      <c r="D11" s="84"/>
      <c r="E11" s="85"/>
      <c r="F11" s="85"/>
      <c r="G11" s="84"/>
      <c r="H11" s="84"/>
      <c r="I11" s="84"/>
      <c r="J11" s="84"/>
      <c r="K11" s="84"/>
      <c r="M11" s="148">
        <f>'Cost Buildup'!M17</f>
        <v>40000</v>
      </c>
      <c r="N11" s="139">
        <f>'Cost Buildup'!N17</f>
        <v>40000</v>
      </c>
      <c r="O11" s="139">
        <f>'Cost Buildup'!O17</f>
        <v>40000</v>
      </c>
      <c r="P11" s="139">
        <f>'Cost Buildup'!P17</f>
        <v>40000</v>
      </c>
      <c r="Q11" s="139">
        <f>'Cost Buildup'!Q17</f>
        <v>80000</v>
      </c>
      <c r="R11" s="139">
        <f>'Cost Buildup'!R17</f>
        <v>80000</v>
      </c>
      <c r="S11" s="139">
        <f>'Cost Buildup'!S17</f>
        <v>80000</v>
      </c>
      <c r="T11" s="139">
        <f>'Cost Buildup'!T17</f>
        <v>80000</v>
      </c>
      <c r="U11" s="139">
        <f>'Cost Buildup'!U17</f>
        <v>120000</v>
      </c>
      <c r="V11" s="139">
        <f>'Cost Buildup'!V17</f>
        <v>120000</v>
      </c>
      <c r="W11" s="139">
        <f>'Cost Buildup'!W17</f>
        <v>160000</v>
      </c>
      <c r="X11" s="139">
        <f>'Cost Buildup'!X17</f>
        <v>160000</v>
      </c>
      <c r="Y11" s="139">
        <f>'Cost Buildup'!Y17</f>
        <v>220000.00000000003</v>
      </c>
      <c r="Z11" s="139">
        <f>'Cost Buildup'!Z17</f>
        <v>220000.00000000003</v>
      </c>
      <c r="AA11" s="139">
        <f>'Cost Buildup'!AA17</f>
        <v>264000</v>
      </c>
      <c r="AB11" s="139">
        <f>'Cost Buildup'!AB17</f>
        <v>264000</v>
      </c>
      <c r="AC11" s="139">
        <f>'Cost Buildup'!AC17</f>
        <v>308000</v>
      </c>
      <c r="AD11" s="139">
        <f>'Cost Buildup'!AD17</f>
        <v>308000</v>
      </c>
      <c r="AE11" s="139">
        <f>'Cost Buildup'!AE17</f>
        <v>396000.00000000006</v>
      </c>
      <c r="AF11" s="139">
        <f>'Cost Buildup'!AF17</f>
        <v>440000.00000000006</v>
      </c>
      <c r="AG11" s="139">
        <f>'Cost Buildup'!AG17</f>
        <v>484000.00000000006</v>
      </c>
      <c r="AH11" s="139">
        <f>'Cost Buildup'!AH17</f>
        <v>528000</v>
      </c>
      <c r="AI11" s="139">
        <f>'Cost Buildup'!AI17</f>
        <v>572000</v>
      </c>
      <c r="AJ11" s="139">
        <f>'Cost Buildup'!AJ17</f>
        <v>660000</v>
      </c>
      <c r="AK11" s="139">
        <f>'Cost Buildup'!AK17</f>
        <v>774400.00000000012</v>
      </c>
      <c r="AL11" s="139">
        <f>'Cost Buildup'!AL17</f>
        <v>822800.00000000012</v>
      </c>
      <c r="AM11" s="139">
        <f>'Cost Buildup'!AM17</f>
        <v>871200.00000000012</v>
      </c>
      <c r="AN11" s="139">
        <f>'Cost Buildup'!AN17</f>
        <v>968000.00000000012</v>
      </c>
      <c r="AO11" s="139">
        <f>'Cost Buildup'!AO17</f>
        <v>1016400.0000000001</v>
      </c>
      <c r="AP11" s="139">
        <f>'Cost Buildup'!AP17</f>
        <v>1064800.0000000002</v>
      </c>
      <c r="AQ11" s="139">
        <f>'Cost Buildup'!AQ17</f>
        <v>1161600.0000000002</v>
      </c>
      <c r="AR11" s="139">
        <f>'Cost Buildup'!AR17</f>
        <v>1210000.0000000002</v>
      </c>
      <c r="AS11" s="139">
        <f>'Cost Buildup'!AS17</f>
        <v>1258400.0000000002</v>
      </c>
      <c r="AT11" s="139">
        <f>'Cost Buildup'!AT17</f>
        <v>1306800.0000000002</v>
      </c>
      <c r="AU11" s="139">
        <f>'Cost Buildup'!AU17</f>
        <v>1355200.0000000002</v>
      </c>
      <c r="AV11" s="139">
        <f>'Cost Buildup'!AV17</f>
        <v>1452000.0000000002</v>
      </c>
      <c r="AW11" s="139">
        <f>'Cost Buildup'!AW17</f>
        <v>1650440.0000000005</v>
      </c>
      <c r="AX11" s="139">
        <f>'Cost Buildup'!AX17</f>
        <v>1703680.0000000005</v>
      </c>
      <c r="AY11" s="139">
        <f>'Cost Buildup'!AY17</f>
        <v>1810160.0000000005</v>
      </c>
      <c r="AZ11" s="139">
        <f>'Cost Buildup'!AZ17</f>
        <v>1863400.0000000005</v>
      </c>
      <c r="BA11" s="139">
        <f>'Cost Buildup'!BA17</f>
        <v>1969880.0000000007</v>
      </c>
      <c r="BB11" s="139">
        <f>'Cost Buildup'!BB17</f>
        <v>2023120.0000000007</v>
      </c>
      <c r="BC11" s="139">
        <f>'Cost Buildup'!BC17</f>
        <v>2129600.0000000005</v>
      </c>
      <c r="BD11" s="139">
        <f>'Cost Buildup'!BD17</f>
        <v>2182840.0000000005</v>
      </c>
      <c r="BE11" s="139">
        <f>'Cost Buildup'!BE17</f>
        <v>2289320.0000000005</v>
      </c>
      <c r="BF11" s="139">
        <f>'Cost Buildup'!BF17</f>
        <v>2395800.0000000009</v>
      </c>
      <c r="BG11" s="139">
        <f>'Cost Buildup'!BG17</f>
        <v>2449040.0000000009</v>
      </c>
      <c r="BH11" s="139">
        <f>'Cost Buildup'!BH17</f>
        <v>2555520.0000000009</v>
      </c>
      <c r="BI11" s="139">
        <f>'Cost Buildup'!BI17</f>
        <v>2869636.0000000009</v>
      </c>
      <c r="BJ11" s="139">
        <f>'Cost Buildup'!BJ17</f>
        <v>2986764.0000000009</v>
      </c>
      <c r="BK11" s="139">
        <f>'Cost Buildup'!BK17</f>
        <v>3103892.0000000009</v>
      </c>
      <c r="BL11" s="139">
        <f>'Cost Buildup'!BL17</f>
        <v>3221020.0000000009</v>
      </c>
      <c r="BM11" s="139">
        <f>'Cost Buildup'!BM17</f>
        <v>3338148.0000000009</v>
      </c>
      <c r="BN11" s="139">
        <f>'Cost Buildup'!BN17</f>
        <v>3396712.0000000009</v>
      </c>
      <c r="BO11" s="139">
        <f>'Cost Buildup'!BO17</f>
        <v>3513840.0000000009</v>
      </c>
      <c r="BP11" s="139">
        <f>'Cost Buildup'!BP17</f>
        <v>3630968.0000000009</v>
      </c>
      <c r="BQ11" s="139">
        <f>'Cost Buildup'!BQ17</f>
        <v>3748096.0000000009</v>
      </c>
      <c r="BR11" s="139">
        <f>'Cost Buildup'!BR17</f>
        <v>3865224.0000000009</v>
      </c>
      <c r="BS11" s="139">
        <f>'Cost Buildup'!BS17</f>
        <v>3982352.0000000009</v>
      </c>
      <c r="BT11" s="139">
        <f>'Cost Buildup'!BT17</f>
        <v>4099480.0000000009</v>
      </c>
      <c r="BU11" s="11"/>
      <c r="BV11" s="37">
        <f t="shared" si="2"/>
        <v>1040000</v>
      </c>
      <c r="BW11" s="37">
        <f t="shared" si="2"/>
        <v>4664000</v>
      </c>
      <c r="BX11" s="37">
        <f t="shared" si="2"/>
        <v>13261600.000000002</v>
      </c>
      <c r="BY11" s="37">
        <f t="shared" si="2"/>
        <v>25022800.000000004</v>
      </c>
      <c r="BZ11" s="37">
        <f t="shared" si="2"/>
        <v>41756132.000000007</v>
      </c>
      <c r="CA11" s="11"/>
      <c r="CB11" s="230">
        <f>BV11/BV$7</f>
        <v>0.17777777777777778</v>
      </c>
      <c r="CC11" s="230">
        <f t="shared" ref="CC11" si="13">BW11/BW$7</f>
        <v>0.12307367532193371</v>
      </c>
      <c r="CD11" s="230">
        <f t="shared" ref="CD11" si="14">BX11/BX$7</f>
        <v>0.12627209018890923</v>
      </c>
      <c r="CE11" s="230">
        <f t="shared" ref="CE11" si="15">BY11/BY$7</f>
        <v>0.14974745661280672</v>
      </c>
      <c r="CF11" s="230">
        <f t="shared" ref="CF11" si="16">BZ11/BZ$7</f>
        <v>0.1960381784037559</v>
      </c>
    </row>
    <row r="12" spans="1:84" x14ac:dyDescent="0.3">
      <c r="A12" s="137" t="s">
        <v>194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24"/>
      <c r="M12" s="49">
        <f>SUM(M9:M11)</f>
        <v>114780</v>
      </c>
      <c r="N12" s="49">
        <f t="shared" ref="N12:BT12" si="17">SUM(N9:N11)</f>
        <v>124446.44067796611</v>
      </c>
      <c r="O12" s="49">
        <f t="shared" si="17"/>
        <v>134112.88135593222</v>
      </c>
      <c r="P12" s="49">
        <f t="shared" si="17"/>
        <v>147379.32203389832</v>
      </c>
      <c r="Q12" s="49">
        <f t="shared" si="17"/>
        <v>197045.76271186443</v>
      </c>
      <c r="R12" s="49">
        <f t="shared" si="17"/>
        <v>206712.20338983054</v>
      </c>
      <c r="S12" s="49">
        <f t="shared" si="17"/>
        <v>228978.64406779662</v>
      </c>
      <c r="T12" s="49">
        <f t="shared" si="17"/>
        <v>238645.08474576272</v>
      </c>
      <c r="U12" s="49">
        <f t="shared" si="17"/>
        <v>288311.52542372886</v>
      </c>
      <c r="V12" s="49">
        <f t="shared" si="17"/>
        <v>308777.96610169497</v>
      </c>
      <c r="W12" s="49">
        <f t="shared" si="17"/>
        <v>358444.40677966108</v>
      </c>
      <c r="X12" s="49">
        <f t="shared" si="17"/>
        <v>368110.84745762718</v>
      </c>
      <c r="Y12" s="49">
        <f t="shared" si="17"/>
        <v>447857.28813559329</v>
      </c>
      <c r="Z12" s="49">
        <f t="shared" si="17"/>
        <v>457523.72881355934</v>
      </c>
      <c r="AA12" s="49">
        <f t="shared" si="17"/>
        <v>511190.16949152539</v>
      </c>
      <c r="AB12" s="49">
        <f t="shared" si="17"/>
        <v>530216.6101694915</v>
      </c>
      <c r="AC12" s="49">
        <f t="shared" si="17"/>
        <v>583883.05084745761</v>
      </c>
      <c r="AD12" s="49">
        <f t="shared" si="17"/>
        <v>593549.49152542371</v>
      </c>
      <c r="AE12" s="49">
        <f t="shared" si="17"/>
        <v>747015.93220338982</v>
      </c>
      <c r="AF12" s="49">
        <f t="shared" si="17"/>
        <v>800682.37288135593</v>
      </c>
      <c r="AG12" s="49">
        <f t="shared" si="17"/>
        <v>854348.81355932204</v>
      </c>
      <c r="AH12" s="49">
        <f t="shared" si="17"/>
        <v>925655.25423728803</v>
      </c>
      <c r="AI12" s="49">
        <f t="shared" si="17"/>
        <v>979321.69491525413</v>
      </c>
      <c r="AJ12" s="49">
        <f t="shared" si="17"/>
        <v>1076988.1355932201</v>
      </c>
      <c r="AK12" s="49">
        <f t="shared" si="17"/>
        <v>1210774.5762711866</v>
      </c>
      <c r="AL12" s="49">
        <f t="shared" si="17"/>
        <v>1268841.0169491526</v>
      </c>
      <c r="AM12" s="49">
        <f t="shared" si="17"/>
        <v>1326907.4576271186</v>
      </c>
      <c r="AN12" s="49">
        <f t="shared" si="17"/>
        <v>1441293.8983050846</v>
      </c>
      <c r="AO12" s="49">
        <f t="shared" si="17"/>
        <v>1499360.3389830508</v>
      </c>
      <c r="AP12" s="49">
        <f t="shared" si="17"/>
        <v>1557426.779661017</v>
      </c>
      <c r="AQ12" s="49">
        <f t="shared" si="17"/>
        <v>1708173.220338983</v>
      </c>
      <c r="AR12" s="49">
        <f t="shared" si="17"/>
        <v>1766239.6610169492</v>
      </c>
      <c r="AS12" s="49">
        <f t="shared" si="17"/>
        <v>1824306.1016949154</v>
      </c>
      <c r="AT12" s="49">
        <f t="shared" si="17"/>
        <v>1892452.5423728814</v>
      </c>
      <c r="AU12" s="49">
        <f t="shared" si="17"/>
        <v>1950518.9830508474</v>
      </c>
      <c r="AV12" s="49">
        <f t="shared" si="17"/>
        <v>2056985.4237288137</v>
      </c>
      <c r="AW12" s="49">
        <f t="shared" si="17"/>
        <v>2289571.8644067799</v>
      </c>
      <c r="AX12" s="49">
        <f t="shared" si="17"/>
        <v>2352478.3050847463</v>
      </c>
      <c r="AY12" s="49">
        <f t="shared" si="17"/>
        <v>2468624.7457627123</v>
      </c>
      <c r="AZ12" s="49">
        <f t="shared" si="17"/>
        <v>2539091.1864406783</v>
      </c>
      <c r="BA12" s="49">
        <f t="shared" si="17"/>
        <v>2655237.6271186443</v>
      </c>
      <c r="BB12" s="49">
        <f t="shared" si="17"/>
        <v>2718144.0677966103</v>
      </c>
      <c r="BC12" s="49">
        <f t="shared" si="17"/>
        <v>2842210.5084745763</v>
      </c>
      <c r="BD12" s="49">
        <f t="shared" si="17"/>
        <v>2905116.9491525427</v>
      </c>
      <c r="BE12" s="49">
        <f t="shared" si="17"/>
        <v>3021263.3898305087</v>
      </c>
      <c r="BF12" s="49">
        <f t="shared" si="17"/>
        <v>3144969.8305084752</v>
      </c>
      <c r="BG12" s="49">
        <f t="shared" si="17"/>
        <v>3207876.2711864412</v>
      </c>
      <c r="BH12" s="49">
        <f t="shared" si="17"/>
        <v>3324022.7118644076</v>
      </c>
      <c r="BI12" s="49">
        <f t="shared" si="17"/>
        <v>3680925.1525423736</v>
      </c>
      <c r="BJ12" s="49">
        <f t="shared" si="17"/>
        <v>3807719.5932203396</v>
      </c>
      <c r="BK12" s="49">
        <f t="shared" si="17"/>
        <v>3934514.0338983056</v>
      </c>
      <c r="BL12" s="49">
        <f t="shared" si="17"/>
        <v>4071388.4745762721</v>
      </c>
      <c r="BM12" s="49">
        <f t="shared" si="17"/>
        <v>4198182.9152542381</v>
      </c>
      <c r="BN12" s="49">
        <f t="shared" si="17"/>
        <v>4266413.3559322041</v>
      </c>
      <c r="BO12" s="49">
        <f t="shared" si="17"/>
        <v>4400767.79661017</v>
      </c>
      <c r="BP12" s="49">
        <f t="shared" si="17"/>
        <v>4527562.237288136</v>
      </c>
      <c r="BQ12" s="49">
        <f t="shared" si="17"/>
        <v>4654356.677966102</v>
      </c>
      <c r="BR12" s="49">
        <f t="shared" si="17"/>
        <v>4789071.118644068</v>
      </c>
      <c r="BS12" s="49">
        <f t="shared" si="17"/>
        <v>4915865.5593220349</v>
      </c>
      <c r="BT12" s="49">
        <f t="shared" si="17"/>
        <v>5042660.0000000009</v>
      </c>
      <c r="BU12" s="11"/>
      <c r="BV12" s="130">
        <f t="shared" si="2"/>
        <v>2715745.0847457633</v>
      </c>
      <c r="BW12" s="130">
        <f t="shared" si="2"/>
        <v>8508232.5423728805</v>
      </c>
      <c r="BX12" s="130">
        <f t="shared" si="2"/>
        <v>19503279.999999996</v>
      </c>
      <c r="BY12" s="130">
        <f t="shared" si="2"/>
        <v>33468607.457627121</v>
      </c>
      <c r="BZ12" s="130">
        <f t="shared" si="2"/>
        <v>52289426.915254243</v>
      </c>
      <c r="CA12" s="11"/>
      <c r="CB12" s="233">
        <f>BV12/BV$7</f>
        <v>0.46422992901636978</v>
      </c>
      <c r="CC12" s="233">
        <f t="shared" ref="CC12" si="18">BW12/BW$7</f>
        <v>0.224515319357528</v>
      </c>
      <c r="CD12" s="233">
        <f t="shared" ref="CD12" si="19">BX12/BX$7</f>
        <v>0.1857030773918342</v>
      </c>
      <c r="CE12" s="233">
        <f t="shared" ref="CE12" si="20">BY12/BY$7</f>
        <v>0.20029088843582957</v>
      </c>
      <c r="CF12" s="233">
        <f t="shared" ref="CF12" si="21">BZ12/BZ$7</f>
        <v>0.2454902672077664</v>
      </c>
    </row>
    <row r="13" spans="1:84" x14ac:dyDescent="0.3">
      <c r="A13" s="149"/>
      <c r="B13" s="149" t="s">
        <v>179</v>
      </c>
      <c r="C13" s="149"/>
      <c r="D13" s="150"/>
      <c r="E13" s="150"/>
      <c r="F13" s="150"/>
      <c r="G13" s="150"/>
      <c r="H13" s="150"/>
      <c r="I13" s="150"/>
      <c r="J13" s="150"/>
      <c r="K13" s="150"/>
      <c r="L13" s="150"/>
      <c r="M13" s="151">
        <f>M7-M12</f>
        <v>-74780</v>
      </c>
      <c r="N13" s="151">
        <f t="shared" ref="N13:BV13" si="22">N7-N12</f>
        <v>-44446.440677966108</v>
      </c>
      <c r="O13" s="151">
        <f t="shared" si="22"/>
        <v>-14112.881355932215</v>
      </c>
      <c r="P13" s="151">
        <f t="shared" si="22"/>
        <v>32620.677966101677</v>
      </c>
      <c r="Q13" s="151">
        <f t="shared" si="22"/>
        <v>42954.23728813557</v>
      </c>
      <c r="R13" s="151">
        <f t="shared" si="22"/>
        <v>93287.796610169462</v>
      </c>
      <c r="S13" s="151">
        <f t="shared" si="22"/>
        <v>201021.35593220338</v>
      </c>
      <c r="T13" s="151">
        <f t="shared" si="22"/>
        <v>321354.91525423725</v>
      </c>
      <c r="U13" s="151">
        <f t="shared" si="22"/>
        <v>401688.47457627114</v>
      </c>
      <c r="V13" s="151">
        <f t="shared" si="22"/>
        <v>571222.03389830503</v>
      </c>
      <c r="W13" s="151">
        <f t="shared" si="22"/>
        <v>711555.59322033892</v>
      </c>
      <c r="X13" s="151">
        <f t="shared" si="22"/>
        <v>891889.15254237282</v>
      </c>
      <c r="Y13" s="151">
        <f t="shared" si="22"/>
        <v>1018142.7118644067</v>
      </c>
      <c r="Z13" s="151">
        <f t="shared" si="22"/>
        <v>1214476.2711864407</v>
      </c>
      <c r="AA13" s="151">
        <f t="shared" si="22"/>
        <v>1366809.8305084747</v>
      </c>
      <c r="AB13" s="151">
        <f t="shared" si="22"/>
        <v>1585783.3898305085</v>
      </c>
      <c r="AC13" s="151">
        <f t="shared" si="22"/>
        <v>1770116.9491525423</v>
      </c>
      <c r="AD13" s="151">
        <f t="shared" si="22"/>
        <v>1998450.5084745763</v>
      </c>
      <c r="AE13" s="151">
        <f t="shared" si="22"/>
        <v>2322984.0677966103</v>
      </c>
      <c r="AF13" s="151">
        <f t="shared" si="22"/>
        <v>2747317.6271186443</v>
      </c>
      <c r="AG13" s="151">
        <f t="shared" si="22"/>
        <v>3171651.1864406778</v>
      </c>
      <c r="AH13" s="151">
        <f t="shared" si="22"/>
        <v>3616344.7457627119</v>
      </c>
      <c r="AI13" s="151">
        <f t="shared" si="22"/>
        <v>4078678.3050847459</v>
      </c>
      <c r="AJ13" s="151">
        <f t="shared" si="22"/>
        <v>4497011.8644067794</v>
      </c>
      <c r="AK13" s="151">
        <f t="shared" si="22"/>
        <v>4877225.4237288134</v>
      </c>
      <c r="AL13" s="151">
        <f t="shared" si="22"/>
        <v>5333158.9830508474</v>
      </c>
      <c r="AM13" s="151">
        <f t="shared" si="22"/>
        <v>5789092.5423728814</v>
      </c>
      <c r="AN13" s="151">
        <f t="shared" si="22"/>
        <v>6180706.1016949154</v>
      </c>
      <c r="AO13" s="151">
        <f t="shared" si="22"/>
        <v>6628639.6610169495</v>
      </c>
      <c r="AP13" s="151">
        <f t="shared" si="22"/>
        <v>7076573.2203389835</v>
      </c>
      <c r="AQ13" s="151">
        <f t="shared" si="22"/>
        <v>7367826.7796610165</v>
      </c>
      <c r="AR13" s="151">
        <f t="shared" si="22"/>
        <v>7751760.3389830505</v>
      </c>
      <c r="AS13" s="151">
        <f t="shared" si="22"/>
        <v>8135693.8983050846</v>
      </c>
      <c r="AT13" s="151">
        <f t="shared" si="22"/>
        <v>8467547.4576271176</v>
      </c>
      <c r="AU13" s="151">
        <f t="shared" si="22"/>
        <v>8809481.0169491526</v>
      </c>
      <c r="AV13" s="151">
        <f t="shared" si="22"/>
        <v>9103014.5762711857</v>
      </c>
      <c r="AW13" s="151">
        <f t="shared" si="22"/>
        <v>9352428.1355932206</v>
      </c>
      <c r="AX13" s="151">
        <f t="shared" si="22"/>
        <v>9771521.6949152537</v>
      </c>
      <c r="AY13" s="151">
        <f t="shared" si="22"/>
        <v>10137375.254237287</v>
      </c>
      <c r="AZ13" s="151">
        <f t="shared" si="22"/>
        <v>10546908.813559322</v>
      </c>
      <c r="BA13" s="151">
        <f t="shared" si="22"/>
        <v>10910762.372881357</v>
      </c>
      <c r="BB13" s="151">
        <f t="shared" si="22"/>
        <v>11327855.93220339</v>
      </c>
      <c r="BC13" s="151">
        <f t="shared" si="22"/>
        <v>11481789.491525423</v>
      </c>
      <c r="BD13" s="151">
        <f t="shared" si="22"/>
        <v>11696883.050847458</v>
      </c>
      <c r="BE13" s="151">
        <f t="shared" si="22"/>
        <v>11858736.610169491</v>
      </c>
      <c r="BF13" s="151">
        <f t="shared" si="22"/>
        <v>11999030.169491526</v>
      </c>
      <c r="BG13" s="151">
        <f t="shared" si="22"/>
        <v>12200123.728813559</v>
      </c>
      <c r="BH13" s="151">
        <f t="shared" si="22"/>
        <v>12347977.288135592</v>
      </c>
      <c r="BI13" s="151">
        <f t="shared" si="22"/>
        <v>12303074.847457627</v>
      </c>
      <c r="BJ13" s="151">
        <f t="shared" si="22"/>
        <v>12488280.40677966</v>
      </c>
      <c r="BK13" s="151">
        <f t="shared" si="22"/>
        <v>12673485.966101695</v>
      </c>
      <c r="BL13" s="151">
        <f t="shared" si="22"/>
        <v>12862611.525423728</v>
      </c>
      <c r="BM13" s="151">
        <f t="shared" si="22"/>
        <v>13061817.084745761</v>
      </c>
      <c r="BN13" s="151">
        <f t="shared" si="22"/>
        <v>13319586.644067796</v>
      </c>
      <c r="BO13" s="151">
        <f t="shared" si="22"/>
        <v>13509232.203389831</v>
      </c>
      <c r="BP13" s="151">
        <f t="shared" si="22"/>
        <v>13706437.762711864</v>
      </c>
      <c r="BQ13" s="151">
        <f t="shared" si="22"/>
        <v>13903643.322033897</v>
      </c>
      <c r="BR13" s="151">
        <f t="shared" si="22"/>
        <v>14094928.881355932</v>
      </c>
      <c r="BS13" s="151">
        <f t="shared" si="22"/>
        <v>14294134.440677965</v>
      </c>
      <c r="BT13" s="151">
        <f t="shared" si="22"/>
        <v>14493340</v>
      </c>
      <c r="BU13" s="11"/>
      <c r="BV13" s="215">
        <f t="shared" si="22"/>
        <v>3134254.9152542367</v>
      </c>
      <c r="BW13" s="215">
        <f t="shared" ref="BW13" si="23">BW7-BW12</f>
        <v>29387767.457627118</v>
      </c>
      <c r="BX13" s="215">
        <f t="shared" ref="BX13" si="24">BX7-BX12</f>
        <v>85520720</v>
      </c>
      <c r="BY13" s="215">
        <f t="shared" ref="BY13" si="25">BY7-BY12</f>
        <v>133631392.54237288</v>
      </c>
      <c r="BZ13" s="215">
        <f t="shared" ref="BZ13" si="26">BZ7-BZ12</f>
        <v>160710573.08474576</v>
      </c>
      <c r="CA13" s="11"/>
      <c r="CB13" s="232">
        <f>BV13/BV$7</f>
        <v>0.53577007098363016</v>
      </c>
      <c r="CC13" s="232">
        <f t="shared" ref="CC13" si="27">BW13/BW$7</f>
        <v>0.775484680642472</v>
      </c>
      <c r="CD13" s="232">
        <f t="shared" ref="CD13" si="28">BX13/BX$7</f>
        <v>0.81429692260816577</v>
      </c>
      <c r="CE13" s="232">
        <f t="shared" ref="CE13" si="29">BY13/BY$7</f>
        <v>0.79970911156417046</v>
      </c>
      <c r="CF13" s="232">
        <f t="shared" ref="CF13" si="30">BZ13/BZ$7</f>
        <v>0.75450973279223366</v>
      </c>
    </row>
    <row r="14" spans="1:84" x14ac:dyDescent="0.3">
      <c r="A14" s="84"/>
      <c r="B14" s="140" t="s">
        <v>180</v>
      </c>
      <c r="C14" s="140"/>
      <c r="D14" s="84"/>
      <c r="E14" s="84"/>
      <c r="F14" s="84"/>
      <c r="G14" s="84"/>
      <c r="H14" s="84"/>
      <c r="I14" s="84"/>
      <c r="J14" s="84"/>
      <c r="K14" s="84"/>
      <c r="M14" s="77">
        <f>M13/M$7</f>
        <v>-1.8694999999999999</v>
      </c>
      <c r="N14" s="77">
        <f t="shared" ref="N14:BV14" si="31">N13/N$7</f>
        <v>-0.5555805084745763</v>
      </c>
      <c r="O14" s="77">
        <f t="shared" si="31"/>
        <v>-0.11760734463276847</v>
      </c>
      <c r="P14" s="77">
        <f t="shared" si="31"/>
        <v>0.18122598870056486</v>
      </c>
      <c r="Q14" s="77">
        <f t="shared" si="31"/>
        <v>0.17897598870056489</v>
      </c>
      <c r="R14" s="77">
        <f t="shared" si="31"/>
        <v>0.3109593220338982</v>
      </c>
      <c r="S14" s="77">
        <f t="shared" si="31"/>
        <v>0.46749152542372879</v>
      </c>
      <c r="T14" s="77">
        <f t="shared" si="31"/>
        <v>0.57384806295399504</v>
      </c>
      <c r="U14" s="77">
        <f t="shared" si="31"/>
        <v>0.58215720953082772</v>
      </c>
      <c r="V14" s="77">
        <f t="shared" si="31"/>
        <v>0.64911594761171021</v>
      </c>
      <c r="W14" s="77">
        <f t="shared" si="31"/>
        <v>0.66500522730872802</v>
      </c>
      <c r="X14" s="77">
        <f t="shared" si="31"/>
        <v>0.70784853376378798</v>
      </c>
      <c r="Y14" s="77">
        <f t="shared" si="31"/>
        <v>0.69450389622401554</v>
      </c>
      <c r="Z14" s="77">
        <f t="shared" si="31"/>
        <v>0.72636140621198608</v>
      </c>
      <c r="AA14" s="77">
        <f t="shared" si="31"/>
        <v>0.72780076171910257</v>
      </c>
      <c r="AB14" s="77">
        <f t="shared" si="31"/>
        <v>0.74942504245298136</v>
      </c>
      <c r="AC14" s="77">
        <f t="shared" si="31"/>
        <v>0.75196132079547251</v>
      </c>
      <c r="AD14" s="77">
        <f t="shared" si="31"/>
        <v>0.77100714061519149</v>
      </c>
      <c r="AE14" s="77">
        <f t="shared" si="31"/>
        <v>0.75667233478716944</v>
      </c>
      <c r="AF14" s="77">
        <f t="shared" si="31"/>
        <v>0.77432853075497299</v>
      </c>
      <c r="AG14" s="77">
        <f t="shared" si="31"/>
        <v>0.78779214765044159</v>
      </c>
      <c r="AH14" s="77">
        <f t="shared" si="31"/>
        <v>0.79620095679496072</v>
      </c>
      <c r="AI14" s="77">
        <f t="shared" si="31"/>
        <v>0.80638163406183194</v>
      </c>
      <c r="AJ14" s="77">
        <f t="shared" si="31"/>
        <v>0.80678361399475773</v>
      </c>
      <c r="AK14" s="77">
        <f t="shared" si="31"/>
        <v>0.80112112741931885</v>
      </c>
      <c r="AL14" s="77">
        <f t="shared" si="31"/>
        <v>0.80780960058328499</v>
      </c>
      <c r="AM14" s="77">
        <f t="shared" si="31"/>
        <v>0.81353183563418796</v>
      </c>
      <c r="AN14" s="77">
        <f t="shared" si="31"/>
        <v>0.81090345076028802</v>
      </c>
      <c r="AO14" s="77">
        <f t="shared" si="31"/>
        <v>0.81553145435740027</v>
      </c>
      <c r="AP14" s="77">
        <f t="shared" si="31"/>
        <v>0.81961700490375067</v>
      </c>
      <c r="AQ14" s="77">
        <f t="shared" si="31"/>
        <v>0.81179228511029267</v>
      </c>
      <c r="AR14" s="77">
        <f t="shared" si="31"/>
        <v>0.81443163889294501</v>
      </c>
      <c r="AS14" s="77">
        <f t="shared" si="31"/>
        <v>0.81683673677761892</v>
      </c>
      <c r="AT14" s="77">
        <f t="shared" si="31"/>
        <v>0.81733083567829323</v>
      </c>
      <c r="AU14" s="77">
        <f t="shared" si="31"/>
        <v>0.81872500157520001</v>
      </c>
      <c r="AV14" s="77">
        <f t="shared" si="31"/>
        <v>0.81568230970171918</v>
      </c>
      <c r="AW14" s="77">
        <f t="shared" si="31"/>
        <v>0.80333517742597671</v>
      </c>
      <c r="AX14" s="77">
        <f t="shared" si="31"/>
        <v>0.80596516784190475</v>
      </c>
      <c r="AY14" s="77">
        <f t="shared" si="31"/>
        <v>0.80417065319984826</v>
      </c>
      <c r="AZ14" s="77">
        <f t="shared" si="31"/>
        <v>0.80596888381165532</v>
      </c>
      <c r="BA14" s="77">
        <f t="shared" si="31"/>
        <v>0.8042726207342884</v>
      </c>
      <c r="BB14" s="77">
        <f t="shared" si="31"/>
        <v>0.80648269487422686</v>
      </c>
      <c r="BC14" s="77">
        <f t="shared" si="31"/>
        <v>0.80157703794508672</v>
      </c>
      <c r="BD14" s="77">
        <f t="shared" si="31"/>
        <v>0.80104664092915068</v>
      </c>
      <c r="BE14" s="77">
        <f t="shared" si="31"/>
        <v>0.79695810552214319</v>
      </c>
      <c r="BF14" s="77">
        <f t="shared" si="31"/>
        <v>0.7923289863636771</v>
      </c>
      <c r="BG14" s="77">
        <f t="shared" si="31"/>
        <v>0.79180449953359022</v>
      </c>
      <c r="BH14" s="77">
        <f t="shared" si="31"/>
        <v>0.78790054161151046</v>
      </c>
      <c r="BI14" s="77">
        <f t="shared" si="31"/>
        <v>0.76971188985595762</v>
      </c>
      <c r="BJ14" s="77">
        <f t="shared" si="31"/>
        <v>0.76634023114749994</v>
      </c>
      <c r="BK14" s="77">
        <f t="shared" si="31"/>
        <v>0.76309525325756833</v>
      </c>
      <c r="BL14" s="77">
        <f t="shared" si="31"/>
        <v>0.75957313838571683</v>
      </c>
      <c r="BM14" s="77">
        <f t="shared" si="31"/>
        <v>0.75676808138735574</v>
      </c>
      <c r="BN14" s="77">
        <f t="shared" si="31"/>
        <v>0.7573971707078242</v>
      </c>
      <c r="BO14" s="77">
        <f t="shared" si="31"/>
        <v>0.75428432179731053</v>
      </c>
      <c r="BP14" s="77">
        <f t="shared" si="31"/>
        <v>0.75169670739891759</v>
      </c>
      <c r="BQ14" s="77">
        <f t="shared" si="31"/>
        <v>0.74919944617059475</v>
      </c>
      <c r="BR14" s="77">
        <f t="shared" si="31"/>
        <v>0.7463953019146331</v>
      </c>
      <c r="BS14" s="77">
        <f t="shared" si="31"/>
        <v>0.74409861742207006</v>
      </c>
      <c r="BT14" s="77">
        <f t="shared" si="31"/>
        <v>0.74187858312858312</v>
      </c>
      <c r="BU14" s="11"/>
      <c r="BV14" s="77">
        <f t="shared" si="31"/>
        <v>0.53577007098363016</v>
      </c>
      <c r="BW14" s="77">
        <f t="shared" ref="BW14" si="32">BW13/BW$7</f>
        <v>0.775484680642472</v>
      </c>
      <c r="BX14" s="77">
        <f t="shared" ref="BX14" si="33">BX13/BX$7</f>
        <v>0.81429692260816577</v>
      </c>
      <c r="BY14" s="77">
        <f t="shared" ref="BY14" si="34">BY13/BY$7</f>
        <v>0.79970911156417046</v>
      </c>
      <c r="BZ14" s="77">
        <f t="shared" ref="BZ14" si="35">BZ13/BZ$7</f>
        <v>0.75450973279223366</v>
      </c>
      <c r="CA14" s="11"/>
      <c r="CB14" s="230"/>
      <c r="CC14" s="230"/>
      <c r="CD14" s="230"/>
      <c r="CE14" s="230"/>
      <c r="CF14" s="230"/>
    </row>
    <row r="15" spans="1:84" x14ac:dyDescent="0.3">
      <c r="A15" s="85" t="s">
        <v>181</v>
      </c>
      <c r="B15" s="85"/>
      <c r="C15" s="84"/>
      <c r="D15" s="84"/>
      <c r="E15" s="84"/>
      <c r="F15" s="84"/>
      <c r="G15" s="84"/>
      <c r="H15" s="84"/>
      <c r="I15" s="84"/>
      <c r="J15" s="84"/>
      <c r="K15" s="84"/>
      <c r="BU15" s="11"/>
      <c r="BV15" s="24"/>
      <c r="BW15" s="24"/>
      <c r="BX15" s="24"/>
      <c r="BY15" s="24"/>
      <c r="BZ15" s="24"/>
      <c r="CA15" s="11"/>
    </row>
    <row r="16" spans="1:84" x14ac:dyDescent="0.3">
      <c r="A16" s="84" t="s">
        <v>176</v>
      </c>
      <c r="B16" s="84" t="s">
        <v>300</v>
      </c>
      <c r="C16" s="84"/>
      <c r="D16" s="84"/>
      <c r="E16" s="84"/>
      <c r="F16" s="84"/>
      <c r="G16" s="84"/>
      <c r="H16" s="84"/>
      <c r="I16" s="84"/>
      <c r="J16" s="84"/>
      <c r="K16" s="84"/>
      <c r="M16" s="139">
        <f>'Cost Buildup'!M22+'Cost Buildup'!M32</f>
        <v>198000</v>
      </c>
      <c r="N16" s="139">
        <f>'Cost Buildup'!N22+'Cost Buildup'!N32</f>
        <v>198000</v>
      </c>
      <c r="O16" s="139">
        <f>'Cost Buildup'!O22+'Cost Buildup'!O32</f>
        <v>198000</v>
      </c>
      <c r="P16" s="139">
        <f>'Cost Buildup'!P22+'Cost Buildup'!P32</f>
        <v>322000</v>
      </c>
      <c r="Q16" s="139">
        <f>'Cost Buildup'!Q22+'Cost Buildup'!Q32</f>
        <v>322000</v>
      </c>
      <c r="R16" s="139">
        <f>'Cost Buildup'!R22+'Cost Buildup'!R32</f>
        <v>322000</v>
      </c>
      <c r="S16" s="139">
        <f>'Cost Buildup'!S22+'Cost Buildup'!S32</f>
        <v>656000</v>
      </c>
      <c r="T16" s="139">
        <f>'Cost Buildup'!T22+'Cost Buildup'!T32</f>
        <v>656000</v>
      </c>
      <c r="U16" s="139">
        <f>'Cost Buildup'!U22+'Cost Buildup'!U32</f>
        <v>656000</v>
      </c>
      <c r="V16" s="139">
        <f>'Cost Buildup'!V22+'Cost Buildup'!V32</f>
        <v>978000</v>
      </c>
      <c r="W16" s="139">
        <f>'Cost Buildup'!W22+'Cost Buildup'!W32</f>
        <v>978000</v>
      </c>
      <c r="X16" s="139">
        <f>'Cost Buildup'!X22+'Cost Buildup'!X32</f>
        <v>978000</v>
      </c>
      <c r="Y16" s="139">
        <f>'Cost Buildup'!Y22+'Cost Buildup'!Y32</f>
        <v>1114600</v>
      </c>
      <c r="Z16" s="139">
        <f>'Cost Buildup'!Z22+'Cost Buildup'!Z32</f>
        <v>1114600</v>
      </c>
      <c r="AA16" s="139">
        <f>'Cost Buildup'!AA22+'Cost Buildup'!AA32</f>
        <v>1114600</v>
      </c>
      <c r="AB16" s="139">
        <f>'Cost Buildup'!AB22+'Cost Buildup'!AB32</f>
        <v>1316800</v>
      </c>
      <c r="AC16" s="139">
        <f>'Cost Buildup'!AC22+'Cost Buildup'!AC32</f>
        <v>1316800</v>
      </c>
      <c r="AD16" s="139">
        <f>'Cost Buildup'!AD22+'Cost Buildup'!AD32</f>
        <v>1316800</v>
      </c>
      <c r="AE16" s="139">
        <f>'Cost Buildup'!AE22+'Cost Buildup'!AE32</f>
        <v>2637800</v>
      </c>
      <c r="AF16" s="139">
        <f>'Cost Buildup'!AF22+'Cost Buildup'!AF32</f>
        <v>2637800</v>
      </c>
      <c r="AG16" s="139">
        <f>'Cost Buildup'!AG22+'Cost Buildup'!AG32</f>
        <v>2637800</v>
      </c>
      <c r="AH16" s="139">
        <f>'Cost Buildup'!AH22+'Cost Buildup'!AH32</f>
        <v>2914600</v>
      </c>
      <c r="AI16" s="139">
        <f>'Cost Buildup'!AI22+'Cost Buildup'!AI32</f>
        <v>2914600</v>
      </c>
      <c r="AJ16" s="139">
        <f>'Cost Buildup'!AJ22+'Cost Buildup'!AJ32</f>
        <v>2914600</v>
      </c>
      <c r="AK16" s="139">
        <f>'Cost Buildup'!AK22+'Cost Buildup'!AK32</f>
        <v>3059000</v>
      </c>
      <c r="AL16" s="139">
        <f>'Cost Buildup'!AL22+'Cost Buildup'!AL32</f>
        <v>3059000</v>
      </c>
      <c r="AM16" s="139">
        <f>'Cost Buildup'!AM22+'Cost Buildup'!AM32</f>
        <v>3059000</v>
      </c>
      <c r="AN16" s="139">
        <f>'Cost Buildup'!AN22+'Cost Buildup'!AN32</f>
        <v>3191400</v>
      </c>
      <c r="AO16" s="139">
        <f>'Cost Buildup'!AO22+'Cost Buildup'!AO32</f>
        <v>3191400</v>
      </c>
      <c r="AP16" s="139">
        <f>'Cost Buildup'!AP22+'Cost Buildup'!AP32</f>
        <v>3191400</v>
      </c>
      <c r="AQ16" s="139">
        <f>'Cost Buildup'!AQ22+'Cost Buildup'!AQ32</f>
        <v>3403000</v>
      </c>
      <c r="AR16" s="139">
        <f>'Cost Buildup'!AR22+'Cost Buildup'!AR32</f>
        <v>3403000</v>
      </c>
      <c r="AS16" s="139">
        <f>'Cost Buildup'!AS22+'Cost Buildup'!AS32</f>
        <v>3403000</v>
      </c>
      <c r="AT16" s="139">
        <f>'Cost Buildup'!AT22+'Cost Buildup'!AT32</f>
        <v>3539600</v>
      </c>
      <c r="AU16" s="139">
        <f>'Cost Buildup'!AU22+'Cost Buildup'!AU32</f>
        <v>3539600</v>
      </c>
      <c r="AV16" s="139">
        <f>'Cost Buildup'!AV22+'Cost Buildup'!AV32</f>
        <v>3539600</v>
      </c>
      <c r="AW16" s="139">
        <f>'Cost Buildup'!AW22+'Cost Buildup'!AW32</f>
        <v>4072200</v>
      </c>
      <c r="AX16" s="139">
        <f>'Cost Buildup'!AX22+'Cost Buildup'!AX32</f>
        <v>4072200</v>
      </c>
      <c r="AY16" s="139">
        <f>'Cost Buildup'!AY22+'Cost Buildup'!AY32</f>
        <v>4072200</v>
      </c>
      <c r="AZ16" s="139">
        <f>'Cost Buildup'!AZ22+'Cost Buildup'!AZ32</f>
        <v>4212400</v>
      </c>
      <c r="BA16" s="139">
        <f>'Cost Buildup'!BA22+'Cost Buildup'!BA32</f>
        <v>4212400</v>
      </c>
      <c r="BB16" s="139">
        <f>'Cost Buildup'!BB22+'Cost Buildup'!BB32</f>
        <v>4212400</v>
      </c>
      <c r="BC16" s="139">
        <f>'Cost Buildup'!BC22+'Cost Buildup'!BC32</f>
        <v>4344800</v>
      </c>
      <c r="BD16" s="139">
        <f>'Cost Buildup'!BD22+'Cost Buildup'!BD32</f>
        <v>4344800</v>
      </c>
      <c r="BE16" s="139">
        <f>'Cost Buildup'!BE22+'Cost Buildup'!BE32</f>
        <v>4344800</v>
      </c>
      <c r="BF16" s="139">
        <f>'Cost Buildup'!BF22+'Cost Buildup'!BF32</f>
        <v>4485000</v>
      </c>
      <c r="BG16" s="139">
        <f>'Cost Buildup'!BG22+'Cost Buildup'!BG32</f>
        <v>4485000</v>
      </c>
      <c r="BH16" s="139">
        <f>'Cost Buildup'!BH22+'Cost Buildup'!BH32</f>
        <v>4485000</v>
      </c>
      <c r="BI16" s="139">
        <f>'Cost Buildup'!BI22+'Cost Buildup'!BI32</f>
        <v>5034400</v>
      </c>
      <c r="BJ16" s="139">
        <f>'Cost Buildup'!BJ22+'Cost Buildup'!BJ32</f>
        <v>5034400</v>
      </c>
      <c r="BK16" s="139">
        <f>'Cost Buildup'!BK22+'Cost Buildup'!BK32</f>
        <v>5034400</v>
      </c>
      <c r="BL16" s="139">
        <f>'Cost Buildup'!BL22+'Cost Buildup'!BL32</f>
        <v>5171000</v>
      </c>
      <c r="BM16" s="139">
        <f>'Cost Buildup'!BM22+'Cost Buildup'!BM32</f>
        <v>5171000</v>
      </c>
      <c r="BN16" s="139">
        <f>'Cost Buildup'!BN22+'Cost Buildup'!BN32</f>
        <v>5171000</v>
      </c>
      <c r="BO16" s="139">
        <f>'Cost Buildup'!BO22+'Cost Buildup'!BO32</f>
        <v>5311200</v>
      </c>
      <c r="BP16" s="139">
        <f>'Cost Buildup'!BP22+'Cost Buildup'!BP32</f>
        <v>5311200</v>
      </c>
      <c r="BQ16" s="139">
        <f>'Cost Buildup'!BQ22+'Cost Buildup'!BQ32</f>
        <v>5311200</v>
      </c>
      <c r="BR16" s="139">
        <f>'Cost Buildup'!BR22+'Cost Buildup'!BR32</f>
        <v>5443600</v>
      </c>
      <c r="BS16" s="139">
        <f>'Cost Buildup'!BS22+'Cost Buildup'!BS32</f>
        <v>5443600</v>
      </c>
      <c r="BT16" s="139">
        <f>'Cost Buildup'!BT22+'Cost Buildup'!BT32</f>
        <v>5443600</v>
      </c>
      <c r="BU16" s="11"/>
      <c r="BV16" s="37">
        <f t="shared" ref="BV16:BZ24" si="36">SUMIF($M$3:$BT$3,BV$3,$M16:$BT16)</f>
        <v>6462000</v>
      </c>
      <c r="BW16" s="37">
        <f t="shared" si="36"/>
        <v>23951400</v>
      </c>
      <c r="BX16" s="37">
        <f t="shared" si="36"/>
        <v>39579000</v>
      </c>
      <c r="BY16" s="37">
        <f t="shared" si="36"/>
        <v>51343200</v>
      </c>
      <c r="BZ16" s="37">
        <f t="shared" si="36"/>
        <v>62880600</v>
      </c>
      <c r="CA16" s="11"/>
      <c r="CB16" s="230">
        <f>BV16/BV$7</f>
        <v>1.1046153846153846</v>
      </c>
      <c r="CC16" s="230">
        <f t="shared" ref="CC16" si="37">BW16/BW$7</f>
        <v>0.63202976567447755</v>
      </c>
      <c r="CD16" s="230">
        <f t="shared" ref="CD16" si="38">BX16/BX$7</f>
        <v>0.37685671846435098</v>
      </c>
      <c r="CE16" s="230">
        <f t="shared" ref="CE16" si="39">BY16/BY$7</f>
        <v>0.30726032315978458</v>
      </c>
      <c r="CF16" s="230">
        <f t="shared" ref="CF16" si="40">BZ16/BZ$7</f>
        <v>0.29521408450704223</v>
      </c>
    </row>
    <row r="17" spans="1:84" x14ac:dyDescent="0.3">
      <c r="A17" s="84" t="s">
        <v>176</v>
      </c>
      <c r="B17" s="136" t="s">
        <v>91</v>
      </c>
      <c r="C17" s="136"/>
      <c r="D17" s="84"/>
      <c r="E17" s="84"/>
      <c r="F17" s="84"/>
      <c r="G17" s="84"/>
      <c r="H17" s="84"/>
      <c r="I17" s="84"/>
      <c r="J17" s="84"/>
      <c r="K17" s="84"/>
      <c r="M17" s="141">
        <f>SUM('Cost Buildup'!M52:M53)</f>
        <v>90000</v>
      </c>
      <c r="N17" s="141">
        <f>SUM('Cost Buildup'!N52:N53)</f>
        <v>90515.937321762714</v>
      </c>
      <c r="O17" s="141">
        <f>SUM('Cost Buildup'!O52:O53)</f>
        <v>91031.874643525429</v>
      </c>
      <c r="P17" s="141">
        <f>SUM('Cost Buildup'!P52:P53)</f>
        <v>100702.59316181696</v>
      </c>
      <c r="Q17" s="141">
        <f>SUM('Cost Buildup'!Q52:Q53)</f>
        <v>110476.49914446104</v>
      </c>
      <c r="R17" s="141">
        <f>SUM('Cost Buildup'!R52:R53)</f>
        <v>111095.62393057629</v>
      </c>
      <c r="S17" s="141">
        <f>SUM('Cost Buildup'!S52:S53)</f>
        <v>148952.99828892207</v>
      </c>
      <c r="T17" s="141">
        <f>SUM('Cost Buildup'!T52:T53)</f>
        <v>149778.49800374242</v>
      </c>
      <c r="U17" s="141">
        <f>SUM('Cost Buildup'!U52:U53)</f>
        <v>160016.74757597293</v>
      </c>
      <c r="V17" s="141">
        <f>SUM('Cost Buildup'!V52:V53)</f>
        <v>189286.87179172889</v>
      </c>
      <c r="W17" s="141">
        <f>SUM('Cost Buildup'!W52:W53)</f>
        <v>199834.68375701705</v>
      </c>
      <c r="X17" s="141">
        <f>SUM('Cost Buildup'!X52:X53)</f>
        <v>200918.15213271874</v>
      </c>
      <c r="Y17" s="141">
        <f>SUM('Cost Buildup'!Y52:Y53)</f>
        <v>269335.49401122727</v>
      </c>
      <c r="Z17" s="141">
        <f>SUM('Cost Buildup'!Z52:Z53)</f>
        <v>270780.11851216288</v>
      </c>
      <c r="AA17" s="141">
        <f>SUM('Cost Buildup'!AA52:AA53)</f>
        <v>281947.05526356632</v>
      </c>
      <c r="AB17" s="141">
        <f>SUM('Cost Buildup'!AB52:AB53)</f>
        <v>293217.17947932222</v>
      </c>
      <c r="AC17" s="141">
        <f>SUM('Cost Buildup'!AC52:AC53)</f>
        <v>304590.49115943076</v>
      </c>
      <c r="AD17" s="141">
        <f>SUM('Cost Buildup'!AD52:AD53)</f>
        <v>306189.89685689518</v>
      </c>
      <c r="AE17" s="141">
        <f>SUM('Cost Buildup'!AE52:AE53)</f>
        <v>466648.29742112581</v>
      </c>
      <c r="AF17" s="141">
        <f>SUM('Cost Buildup'!AF52:AF53)</f>
        <v>479053.48374475975</v>
      </c>
      <c r="AG17" s="141">
        <f>SUM('Cost Buildup'!AG52:AG53)</f>
        <v>491561.85753274622</v>
      </c>
      <c r="AH17" s="141">
        <f>SUM('Cost Buildup'!AH52:AH53)</f>
        <v>524340.3555364887</v>
      </c>
      <c r="AI17" s="141">
        <f>SUM('Cost Buildup'!AI52:AI53)</f>
        <v>537158.29171753279</v>
      </c>
      <c r="AJ17" s="141">
        <f>SUM('Cost Buildup'!AJ52:AJ53)</f>
        <v>560266.07120298373</v>
      </c>
      <c r="AK17" s="141">
        <f>SUM('Cost Buildup'!AK52:AK53)</f>
        <v>675724.47176721436</v>
      </c>
      <c r="AL17" s="141">
        <f>SUM('Cost Buildup'!AL52:AL53)</f>
        <v>689419.50139525509</v>
      </c>
      <c r="AM17" s="141">
        <f>SUM('Cost Buildup'!AM52:AM53)</f>
        <v>703217.71848764829</v>
      </c>
      <c r="AN17" s="141">
        <f>SUM('Cost Buildup'!AN52:AN53)</f>
        <v>737905.18458191282</v>
      </c>
      <c r="AO17" s="141">
        <f>SUM('Cost Buildup'!AO52:AO53)</f>
        <v>752012.96406736365</v>
      </c>
      <c r="AP17" s="141">
        <f>SUM('Cost Buildup'!AP52:AP53)</f>
        <v>766223.93101716717</v>
      </c>
      <c r="AQ17" s="141">
        <f>SUM('Cost Buildup'!AQ52:AQ53)</f>
        <v>812181.52132718754</v>
      </c>
      <c r="AR17" s="141">
        <f>SUM('Cost Buildup'!AR52:AR53)</f>
        <v>826753.64440222504</v>
      </c>
      <c r="AS17" s="141">
        <f>SUM('Cost Buildup'!AS52:AS53)</f>
        <v>841428.95494161476</v>
      </c>
      <c r="AT17" s="141">
        <f>SUM('Cost Buildup'!AT52:AT53)</f>
        <v>866910.04610717413</v>
      </c>
      <c r="AU17" s="141">
        <f>SUM('Cost Buildup'!AU52:AU53)</f>
        <v>881843.32530744548</v>
      </c>
      <c r="AV17" s="141">
        <f>SUM('Cost Buildup'!AV52:AV53)</f>
        <v>907685.57259823871</v>
      </c>
      <c r="AW17" s="141">
        <f>SUM('Cost Buildup'!AW52:AW53)</f>
        <v>966306.31789277459</v>
      </c>
      <c r="AX17" s="141">
        <f>SUM('Cost Buildup'!AX52:AX53)</f>
        <v>981807.12814698473</v>
      </c>
      <c r="AY17" s="141">
        <f>SUM('Cost Buildup'!AY52:AY53)</f>
        <v>1008371.6876882459</v>
      </c>
      <c r="AZ17" s="141">
        <f>SUM('Cost Buildup'!AZ52:AZ53)</f>
        <v>1035142.6221582121</v>
      </c>
      <c r="BA17" s="141">
        <f>SUM('Cost Buildup'!BA52:BA53)</f>
        <v>1062119.9315568833</v>
      </c>
      <c r="BB17" s="141">
        <f>SUM('Cost Buildup'!BB52:BB53)</f>
        <v>1078188.2728650325</v>
      </c>
      <c r="BC17" s="141">
        <f>SUM('Cost Buildup'!BC52:BC53)</f>
        <v>1116693.675140341</v>
      </c>
      <c r="BD17" s="141">
        <f>SUM('Cost Buildup'!BD52:BD53)</f>
        <v>1133071.5788415479</v>
      </c>
      <c r="BE17" s="141">
        <f>SUM('Cost Buildup'!BE52:BE53)</f>
        <v>1160822.7942228634</v>
      </c>
      <c r="BF17" s="141">
        <f>SUM('Cost Buildup'!BF52:BF53)</f>
        <v>1200102.102480816</v>
      </c>
      <c r="BG17" s="141">
        <f>SUM('Cost Buildup'!BG52:BG53)</f>
        <v>1216944.3497716093</v>
      </c>
      <c r="BH17" s="141">
        <f>SUM('Cost Buildup'!BH52:BH53)</f>
        <v>1245314.6899390398</v>
      </c>
      <c r="BI17" s="141">
        <f>SUM('Cost Buildup'!BI52:BI53)</f>
        <v>1319797.4016130199</v>
      </c>
      <c r="BJ17" s="141">
        <f>SUM('Cost Buildup'!BJ52:BJ53)</f>
        <v>1348786.8665665656</v>
      </c>
      <c r="BK17" s="141">
        <f>SUM('Cost Buildup'!BK52:BK53)</f>
        <v>1377982.7064488167</v>
      </c>
      <c r="BL17" s="141">
        <f>SUM('Cost Buildup'!BL52:BL53)</f>
        <v>1419016.2016007625</v>
      </c>
      <c r="BM17" s="141">
        <f>SUM('Cost Buildup'!BM52:BM53)</f>
        <v>1448676.3850725999</v>
      </c>
      <c r="BN17" s="141">
        <f>SUM('Cost Buildup'!BN52:BN53)</f>
        <v>1466808.4756677998</v>
      </c>
      <c r="BO17" s="141">
        <f>SUM('Cost Buildup'!BO52:BO53)</f>
        <v>1508615.87680239</v>
      </c>
      <c r="BP17" s="141">
        <f>SUM('Cost Buildup'!BP52:BP53)</f>
        <v>1538895.1850603428</v>
      </c>
      <c r="BQ17" s="141">
        <f>SUM('Cost Buildup'!BQ52:BQ53)</f>
        <v>1569380.8682470005</v>
      </c>
      <c r="BR17" s="141">
        <f>SUM('Cost Buildup'!BR52:BR53)</f>
        <v>1612013.7690964108</v>
      </c>
      <c r="BS17" s="141">
        <f>SUM('Cost Buildup'!BS52:BS53)</f>
        <v>1642963.795872655</v>
      </c>
      <c r="BT17" s="141">
        <f>SUM('Cost Buildup'!BT52:BT53)</f>
        <v>1674120.1975776043</v>
      </c>
      <c r="BU17" s="11"/>
      <c r="BV17" s="37">
        <f t="shared" si="36"/>
        <v>1642610.4797522447</v>
      </c>
      <c r="BW17" s="37">
        <f t="shared" si="36"/>
        <v>4785088.5924382415</v>
      </c>
      <c r="BX17" s="37">
        <f t="shared" si="36"/>
        <v>9461306.8360004481</v>
      </c>
      <c r="BY17" s="37">
        <f t="shared" si="36"/>
        <v>13204885.15070435</v>
      </c>
      <c r="BZ17" s="37">
        <f t="shared" si="36"/>
        <v>17927057.729625966</v>
      </c>
      <c r="CA17" s="11"/>
      <c r="CB17" s="230">
        <f t="shared" ref="CB17:CB23" si="41">BV17/BV$7</f>
        <v>0.28078811619696492</v>
      </c>
      <c r="CC17" s="230">
        <f t="shared" ref="CC17:CC23" si="42">BW17/BW$7</f>
        <v>0.12626896222393502</v>
      </c>
      <c r="CD17" s="230">
        <f t="shared" ref="CD17:CD23" si="43">BX17/BX$7</f>
        <v>9.0087092816884221E-2</v>
      </c>
      <c r="CE17" s="230">
        <f t="shared" ref="CE17:CE23" si="44">BY17/BY$7</f>
        <v>7.9023848897093657E-2</v>
      </c>
      <c r="CF17" s="230">
        <f t="shared" ref="CF17:CF23" si="45">BZ17/BZ$7</f>
        <v>8.4164590279934115E-2</v>
      </c>
    </row>
    <row r="18" spans="1:84" x14ac:dyDescent="0.3">
      <c r="A18" s="84" t="s">
        <v>176</v>
      </c>
      <c r="B18" s="136" t="s">
        <v>197</v>
      </c>
      <c r="C18" s="84"/>
      <c r="D18" s="84"/>
      <c r="E18" s="84"/>
      <c r="F18" s="84"/>
      <c r="G18" s="84"/>
      <c r="H18" s="84"/>
      <c r="I18" s="84"/>
      <c r="J18" s="84"/>
      <c r="K18" s="84"/>
      <c r="M18" s="141">
        <f>'Cost Buildup'!M61</f>
        <v>10000</v>
      </c>
      <c r="N18" s="141">
        <f>'Cost Buildup'!N61</f>
        <v>11525.423728813559</v>
      </c>
      <c r="O18" s="141">
        <f>'Cost Buildup'!O61</f>
        <v>13050.847457627118</v>
      </c>
      <c r="P18" s="141">
        <f>'Cost Buildup'!P61</f>
        <v>14576.271186440677</v>
      </c>
      <c r="Q18" s="141">
        <f>'Cost Buildup'!Q61</f>
        <v>16101.694915254237</v>
      </c>
      <c r="R18" s="141">
        <f>'Cost Buildup'!R61</f>
        <v>17627.118644067796</v>
      </c>
      <c r="S18" s="141">
        <f>'Cost Buildup'!S61</f>
        <v>19152.542372881355</v>
      </c>
      <c r="T18" s="141">
        <f>'Cost Buildup'!T61</f>
        <v>20677.966101694914</v>
      </c>
      <c r="U18" s="141">
        <f>'Cost Buildup'!U61</f>
        <v>22203.389830508473</v>
      </c>
      <c r="V18" s="141">
        <f>'Cost Buildup'!V61</f>
        <v>23728.813559322032</v>
      </c>
      <c r="W18" s="141">
        <f>'Cost Buildup'!W61</f>
        <v>25254.237288135591</v>
      </c>
      <c r="X18" s="141">
        <f>'Cost Buildup'!X61</f>
        <v>26779.661016949151</v>
      </c>
      <c r="Y18" s="141">
        <f>'Cost Buildup'!Y61</f>
        <v>28305.08474576271</v>
      </c>
      <c r="Z18" s="141">
        <f>'Cost Buildup'!Z61</f>
        <v>29830.508474576269</v>
      </c>
      <c r="AA18" s="141">
        <f>'Cost Buildup'!AA61</f>
        <v>31355.932203389828</v>
      </c>
      <c r="AB18" s="141">
        <f>'Cost Buildup'!AB61</f>
        <v>32881.355932203391</v>
      </c>
      <c r="AC18" s="141">
        <f>'Cost Buildup'!AC61</f>
        <v>34406.779661016953</v>
      </c>
      <c r="AD18" s="141">
        <f>'Cost Buildup'!AD61</f>
        <v>35932.203389830516</v>
      </c>
      <c r="AE18" s="141">
        <f>'Cost Buildup'!AE61</f>
        <v>37457.627118644079</v>
      </c>
      <c r="AF18" s="141">
        <f>'Cost Buildup'!AF61</f>
        <v>38983.050847457642</v>
      </c>
      <c r="AG18" s="141">
        <f>'Cost Buildup'!AG61</f>
        <v>40508.474576271205</v>
      </c>
      <c r="AH18" s="141">
        <f>'Cost Buildup'!AH61</f>
        <v>42033.898305084767</v>
      </c>
      <c r="AI18" s="141">
        <f>'Cost Buildup'!AI61</f>
        <v>43559.32203389833</v>
      </c>
      <c r="AJ18" s="141">
        <f>'Cost Buildup'!AJ61</f>
        <v>45084.745762711893</v>
      </c>
      <c r="AK18" s="141">
        <f>'Cost Buildup'!AK61</f>
        <v>46610.169491525456</v>
      </c>
      <c r="AL18" s="141">
        <f>'Cost Buildup'!AL61</f>
        <v>48135.593220339018</v>
      </c>
      <c r="AM18" s="141">
        <f>'Cost Buildup'!AM61</f>
        <v>49661.016949152581</v>
      </c>
      <c r="AN18" s="141">
        <f>'Cost Buildup'!AN61</f>
        <v>51186.440677966144</v>
      </c>
      <c r="AO18" s="141">
        <f>'Cost Buildup'!AO61</f>
        <v>52711.864406779707</v>
      </c>
      <c r="AP18" s="141">
        <f>'Cost Buildup'!AP61</f>
        <v>54237.28813559327</v>
      </c>
      <c r="AQ18" s="141">
        <f>'Cost Buildup'!AQ61</f>
        <v>55762.711864406832</v>
      </c>
      <c r="AR18" s="141">
        <f>'Cost Buildup'!AR61</f>
        <v>57288.135593220395</v>
      </c>
      <c r="AS18" s="141">
        <f>'Cost Buildup'!AS61</f>
        <v>58813.559322033958</v>
      </c>
      <c r="AT18" s="141">
        <f>'Cost Buildup'!AT61</f>
        <v>60338.983050847521</v>
      </c>
      <c r="AU18" s="141">
        <f>'Cost Buildup'!AU61</f>
        <v>61864.406779661083</v>
      </c>
      <c r="AV18" s="141">
        <f>'Cost Buildup'!AV61</f>
        <v>63389.830508474646</v>
      </c>
      <c r="AW18" s="141">
        <f>'Cost Buildup'!AW61</f>
        <v>64915.254237288209</v>
      </c>
      <c r="AX18" s="141">
        <f>'Cost Buildup'!AX61</f>
        <v>66440.677966101764</v>
      </c>
      <c r="AY18" s="141">
        <f>'Cost Buildup'!AY61</f>
        <v>67966.101694915327</v>
      </c>
      <c r="AZ18" s="141">
        <f>'Cost Buildup'!AZ61</f>
        <v>69491.52542372889</v>
      </c>
      <c r="BA18" s="141">
        <f>'Cost Buildup'!BA61</f>
        <v>71016.949152542453</v>
      </c>
      <c r="BB18" s="141">
        <f>'Cost Buildup'!BB61</f>
        <v>72542.372881356016</v>
      </c>
      <c r="BC18" s="141">
        <f>'Cost Buildup'!BC61</f>
        <v>74067.796610169578</v>
      </c>
      <c r="BD18" s="141">
        <f>'Cost Buildup'!BD61</f>
        <v>75593.220338983141</v>
      </c>
      <c r="BE18" s="141">
        <f>'Cost Buildup'!BE61</f>
        <v>77118.644067796704</v>
      </c>
      <c r="BF18" s="141">
        <f>'Cost Buildup'!BF61</f>
        <v>78644.067796610267</v>
      </c>
      <c r="BG18" s="141">
        <f>'Cost Buildup'!BG61</f>
        <v>80169.491525423829</v>
      </c>
      <c r="BH18" s="141">
        <f>'Cost Buildup'!BH61</f>
        <v>81694.915254237392</v>
      </c>
      <c r="BI18" s="141">
        <f>'Cost Buildup'!BI61</f>
        <v>83220.338983050955</v>
      </c>
      <c r="BJ18" s="141">
        <f>'Cost Buildup'!BJ61</f>
        <v>84745.762711864518</v>
      </c>
      <c r="BK18" s="141">
        <f>'Cost Buildup'!BK61</f>
        <v>86271.186440678081</v>
      </c>
      <c r="BL18" s="141">
        <f>'Cost Buildup'!BL61</f>
        <v>87796.610169491643</v>
      </c>
      <c r="BM18" s="141">
        <f>'Cost Buildup'!BM61</f>
        <v>89322.033898305206</v>
      </c>
      <c r="BN18" s="141">
        <f>'Cost Buildup'!BN61</f>
        <v>90847.457627118769</v>
      </c>
      <c r="BO18" s="141">
        <f>'Cost Buildup'!BO61</f>
        <v>92372.881355932332</v>
      </c>
      <c r="BP18" s="141">
        <f>'Cost Buildup'!BP61</f>
        <v>93898.305084745894</v>
      </c>
      <c r="BQ18" s="141">
        <f>'Cost Buildup'!BQ61</f>
        <v>95423.728813559457</v>
      </c>
      <c r="BR18" s="141">
        <f>'Cost Buildup'!BR61</f>
        <v>96949.15254237302</v>
      </c>
      <c r="BS18" s="141">
        <f>'Cost Buildup'!BS61</f>
        <v>98474.576271186583</v>
      </c>
      <c r="BT18" s="141">
        <f>'Cost Buildup'!BT61</f>
        <v>100000.00000000015</v>
      </c>
      <c r="BU18" s="11"/>
      <c r="BV18" s="37">
        <f t="shared" si="36"/>
        <v>220677.96610169491</v>
      </c>
      <c r="BW18" s="37">
        <f t="shared" si="36"/>
        <v>440338.9830508476</v>
      </c>
      <c r="BX18" s="37">
        <f t="shared" si="36"/>
        <v>660000.00000000058</v>
      </c>
      <c r="BY18" s="37">
        <f t="shared" si="36"/>
        <v>879661.01694915362</v>
      </c>
      <c r="BZ18" s="37">
        <f t="shared" si="36"/>
        <v>1099322.0338983065</v>
      </c>
      <c r="CA18" s="11"/>
      <c r="CB18" s="230">
        <f t="shared" si="41"/>
        <v>3.7722729248152974E-2</v>
      </c>
      <c r="CC18" s="230">
        <f t="shared" si="42"/>
        <v>1.1619669174869316E-2</v>
      </c>
      <c r="CD18" s="230">
        <f t="shared" si="43"/>
        <v>6.2842778793418706E-3</v>
      </c>
      <c r="CE18" s="230">
        <f t="shared" si="44"/>
        <v>5.2642789763563949E-3</v>
      </c>
      <c r="CF18" s="230">
        <f t="shared" si="45"/>
        <v>5.161136309381721E-3</v>
      </c>
    </row>
    <row r="19" spans="1:84" x14ac:dyDescent="0.3">
      <c r="A19" s="84" t="s">
        <v>176</v>
      </c>
      <c r="B19" s="136" t="s">
        <v>198</v>
      </c>
      <c r="C19" s="136"/>
      <c r="D19" s="84"/>
      <c r="E19" s="84"/>
      <c r="F19" s="84"/>
      <c r="G19" s="84"/>
      <c r="H19" s="84"/>
      <c r="I19" s="84"/>
      <c r="J19" s="84"/>
      <c r="K19" s="84"/>
      <c r="M19" s="141">
        <f>SUM(M20:M23)</f>
        <v>505000</v>
      </c>
      <c r="N19" s="141">
        <f t="shared" ref="N19:BS19" si="46">SUM(N20:N23)</f>
        <v>505000</v>
      </c>
      <c r="O19" s="141">
        <f t="shared" si="46"/>
        <v>505000</v>
      </c>
      <c r="P19" s="141">
        <f t="shared" si="46"/>
        <v>555000</v>
      </c>
      <c r="Q19" s="141">
        <f t="shared" si="46"/>
        <v>555000</v>
      </c>
      <c r="R19" s="141">
        <f t="shared" si="46"/>
        <v>555000</v>
      </c>
      <c r="S19" s="141">
        <f t="shared" si="46"/>
        <v>785000</v>
      </c>
      <c r="T19" s="141">
        <f t="shared" si="46"/>
        <v>785000</v>
      </c>
      <c r="U19" s="141">
        <f t="shared" si="46"/>
        <v>785000</v>
      </c>
      <c r="V19" s="141">
        <f t="shared" si="46"/>
        <v>935000</v>
      </c>
      <c r="W19" s="141">
        <f t="shared" si="46"/>
        <v>935000</v>
      </c>
      <c r="X19" s="141">
        <f t="shared" si="46"/>
        <v>935000</v>
      </c>
      <c r="Y19" s="141">
        <f t="shared" si="46"/>
        <v>1472000</v>
      </c>
      <c r="Z19" s="141">
        <f t="shared" si="46"/>
        <v>1472000</v>
      </c>
      <c r="AA19" s="141">
        <f t="shared" si="46"/>
        <v>1472000</v>
      </c>
      <c r="AB19" s="141">
        <f t="shared" si="46"/>
        <v>1529500</v>
      </c>
      <c r="AC19" s="141">
        <f t="shared" si="46"/>
        <v>1529500</v>
      </c>
      <c r="AD19" s="141">
        <f t="shared" si="46"/>
        <v>1529500</v>
      </c>
      <c r="AE19" s="141">
        <f t="shared" si="46"/>
        <v>2415000</v>
      </c>
      <c r="AF19" s="141">
        <f t="shared" si="46"/>
        <v>2415000</v>
      </c>
      <c r="AG19" s="141">
        <f t="shared" si="46"/>
        <v>2415000</v>
      </c>
      <c r="AH19" s="141">
        <f t="shared" si="46"/>
        <v>2530000</v>
      </c>
      <c r="AI19" s="141">
        <f t="shared" si="46"/>
        <v>2530000</v>
      </c>
      <c r="AJ19" s="141">
        <f t="shared" si="46"/>
        <v>2530000</v>
      </c>
      <c r="AK19" s="141">
        <f t="shared" si="46"/>
        <v>3689774.9999999995</v>
      </c>
      <c r="AL19" s="141">
        <f t="shared" si="46"/>
        <v>3689774.9999999995</v>
      </c>
      <c r="AM19" s="141">
        <f t="shared" si="46"/>
        <v>3689774.9999999995</v>
      </c>
      <c r="AN19" s="141">
        <f t="shared" si="46"/>
        <v>3755899.9999999995</v>
      </c>
      <c r="AO19" s="141">
        <f t="shared" si="46"/>
        <v>3755899.9999999995</v>
      </c>
      <c r="AP19" s="141">
        <f t="shared" si="46"/>
        <v>3755899.9999999995</v>
      </c>
      <c r="AQ19" s="141">
        <f t="shared" si="46"/>
        <v>3914599.9999999995</v>
      </c>
      <c r="AR19" s="141">
        <f t="shared" si="46"/>
        <v>3914599.9999999995</v>
      </c>
      <c r="AS19" s="141">
        <f t="shared" si="46"/>
        <v>3914599.9999999995</v>
      </c>
      <c r="AT19" s="141">
        <f t="shared" si="46"/>
        <v>3980724.9999999995</v>
      </c>
      <c r="AU19" s="141">
        <f t="shared" si="46"/>
        <v>3980724.9999999995</v>
      </c>
      <c r="AV19" s="141">
        <f t="shared" si="46"/>
        <v>3980724.9999999995</v>
      </c>
      <c r="AW19" s="141">
        <f t="shared" si="46"/>
        <v>4882008.7499999991</v>
      </c>
      <c r="AX19" s="141">
        <f t="shared" si="46"/>
        <v>4882008.7499999991</v>
      </c>
      <c r="AY19" s="141">
        <f t="shared" si="46"/>
        <v>4882008.7499999991</v>
      </c>
      <c r="AZ19" s="141">
        <f t="shared" si="46"/>
        <v>4958052.4999999991</v>
      </c>
      <c r="BA19" s="141">
        <f t="shared" si="46"/>
        <v>4958052.4999999991</v>
      </c>
      <c r="BB19" s="141">
        <f t="shared" si="46"/>
        <v>4958052.4999999991</v>
      </c>
      <c r="BC19" s="141">
        <f t="shared" si="46"/>
        <v>5034096.2499999991</v>
      </c>
      <c r="BD19" s="141">
        <f t="shared" si="46"/>
        <v>5034096.2499999991</v>
      </c>
      <c r="BE19" s="141">
        <f t="shared" si="46"/>
        <v>5034096.2499999991</v>
      </c>
      <c r="BF19" s="141">
        <f t="shared" si="46"/>
        <v>5110139.9999999991</v>
      </c>
      <c r="BG19" s="141">
        <f t="shared" si="46"/>
        <v>5110139.9999999991</v>
      </c>
      <c r="BH19" s="141">
        <f t="shared" si="46"/>
        <v>5110139.9999999991</v>
      </c>
      <c r="BI19" s="141">
        <f t="shared" si="46"/>
        <v>6348892.6874999991</v>
      </c>
      <c r="BJ19" s="141">
        <f t="shared" si="46"/>
        <v>6348892.6874999991</v>
      </c>
      <c r="BK19" s="141">
        <f t="shared" si="46"/>
        <v>6348892.6874999991</v>
      </c>
      <c r="BL19" s="141">
        <f t="shared" si="46"/>
        <v>6436342.9999999991</v>
      </c>
      <c r="BM19" s="141">
        <f t="shared" si="46"/>
        <v>6436342.9999999991</v>
      </c>
      <c r="BN19" s="141">
        <f t="shared" si="46"/>
        <v>6436342.9999999991</v>
      </c>
      <c r="BO19" s="141">
        <f t="shared" si="46"/>
        <v>6523793.3124999991</v>
      </c>
      <c r="BP19" s="141">
        <f t="shared" si="46"/>
        <v>6523793.3124999991</v>
      </c>
      <c r="BQ19" s="141">
        <f t="shared" si="46"/>
        <v>6523793.3124999991</v>
      </c>
      <c r="BR19" s="141">
        <f t="shared" si="46"/>
        <v>6611243.6249999991</v>
      </c>
      <c r="BS19" s="141">
        <f t="shared" si="46"/>
        <v>6611243.6249999991</v>
      </c>
      <c r="BT19" s="141">
        <f>SUM(BT20:BT23)</f>
        <v>6611243.6249999991</v>
      </c>
      <c r="BU19" s="11"/>
      <c r="BV19" s="37">
        <f t="shared" si="36"/>
        <v>8340000</v>
      </c>
      <c r="BW19" s="37">
        <f t="shared" si="36"/>
        <v>23839500</v>
      </c>
      <c r="BX19" s="37">
        <f t="shared" si="36"/>
        <v>46022999.999999993</v>
      </c>
      <c r="BY19" s="37">
        <f t="shared" si="36"/>
        <v>59952892.499999993</v>
      </c>
      <c r="BZ19" s="37">
        <f t="shared" si="36"/>
        <v>77760817.874999985</v>
      </c>
      <c r="CA19" s="11"/>
      <c r="CB19" s="230">
        <f t="shared" si="41"/>
        <v>1.4256410256410257</v>
      </c>
      <c r="CC19" s="230">
        <f t="shared" si="42"/>
        <v>0.62907694743508547</v>
      </c>
      <c r="CD19" s="230">
        <f t="shared" si="43"/>
        <v>0.43821412248628877</v>
      </c>
      <c r="CE19" s="230">
        <f t="shared" si="44"/>
        <v>0.35878451526032312</v>
      </c>
      <c r="CF19" s="230">
        <f t="shared" si="45"/>
        <v>0.36507426232394358</v>
      </c>
    </row>
    <row r="20" spans="1:84" x14ac:dyDescent="0.3">
      <c r="A20" s="152" t="s">
        <v>176</v>
      </c>
      <c r="B20" s="152" t="s">
        <v>195</v>
      </c>
      <c r="C20" s="136"/>
      <c r="D20" s="84"/>
      <c r="E20" s="84"/>
      <c r="F20" s="84"/>
      <c r="G20" s="84"/>
      <c r="H20" s="84"/>
      <c r="I20" s="84"/>
      <c r="J20" s="84"/>
      <c r="K20" s="84"/>
      <c r="M20" s="141">
        <f>'Cost Buildup'!M41</f>
        <v>100000</v>
      </c>
      <c r="N20" s="141">
        <f>'Cost Buildup'!N41</f>
        <v>100000</v>
      </c>
      <c r="O20" s="141">
        <f>'Cost Buildup'!O41</f>
        <v>100000</v>
      </c>
      <c r="P20" s="141">
        <f>'Cost Buildup'!P41</f>
        <v>150000</v>
      </c>
      <c r="Q20" s="141">
        <f>'Cost Buildup'!Q41</f>
        <v>150000</v>
      </c>
      <c r="R20" s="141">
        <f>'Cost Buildup'!R41</f>
        <v>150000</v>
      </c>
      <c r="S20" s="141">
        <f>'Cost Buildup'!S41</f>
        <v>320000</v>
      </c>
      <c r="T20" s="141">
        <f>'Cost Buildup'!T41</f>
        <v>320000</v>
      </c>
      <c r="U20" s="141">
        <f>'Cost Buildup'!U41</f>
        <v>320000</v>
      </c>
      <c r="V20" s="141">
        <f>'Cost Buildup'!V41</f>
        <v>470000</v>
      </c>
      <c r="W20" s="141">
        <f>'Cost Buildup'!W41</f>
        <v>470000</v>
      </c>
      <c r="X20" s="141">
        <f>'Cost Buildup'!X41</f>
        <v>470000</v>
      </c>
      <c r="Y20" s="141">
        <f>'Cost Buildup'!Y41</f>
        <v>598000</v>
      </c>
      <c r="Z20" s="141">
        <f>'Cost Buildup'!Z41</f>
        <v>598000</v>
      </c>
      <c r="AA20" s="141">
        <f>'Cost Buildup'!AA41</f>
        <v>598000</v>
      </c>
      <c r="AB20" s="141">
        <f>'Cost Buildup'!AB41</f>
        <v>655500</v>
      </c>
      <c r="AC20" s="141">
        <f>'Cost Buildup'!AC41</f>
        <v>655500</v>
      </c>
      <c r="AD20" s="141">
        <f>'Cost Buildup'!AD41</f>
        <v>655500</v>
      </c>
      <c r="AE20" s="141">
        <f>'Cost Buildup'!AE41</f>
        <v>1311000</v>
      </c>
      <c r="AF20" s="141">
        <f>'Cost Buildup'!AF41</f>
        <v>1311000</v>
      </c>
      <c r="AG20" s="141">
        <f>'Cost Buildup'!AG41</f>
        <v>1311000</v>
      </c>
      <c r="AH20" s="141">
        <f>'Cost Buildup'!AH41</f>
        <v>1426000</v>
      </c>
      <c r="AI20" s="141">
        <f>'Cost Buildup'!AI41</f>
        <v>1426000</v>
      </c>
      <c r="AJ20" s="141">
        <f>'Cost Buildup'!AJ41</f>
        <v>1426000</v>
      </c>
      <c r="AK20" s="141">
        <f>'Cost Buildup'!AK41</f>
        <v>1706024.9999999998</v>
      </c>
      <c r="AL20" s="141">
        <f>'Cost Buildup'!AL41</f>
        <v>1706024.9999999998</v>
      </c>
      <c r="AM20" s="141">
        <f>'Cost Buildup'!AM41</f>
        <v>1706024.9999999998</v>
      </c>
      <c r="AN20" s="141">
        <f>'Cost Buildup'!AN41</f>
        <v>1772149.9999999998</v>
      </c>
      <c r="AO20" s="141">
        <f>'Cost Buildup'!AO41</f>
        <v>1772149.9999999998</v>
      </c>
      <c r="AP20" s="141">
        <f>'Cost Buildup'!AP41</f>
        <v>1772149.9999999998</v>
      </c>
      <c r="AQ20" s="141">
        <f>'Cost Buildup'!AQ41</f>
        <v>1930849.9999999998</v>
      </c>
      <c r="AR20" s="141">
        <f>'Cost Buildup'!AR41</f>
        <v>1930849.9999999998</v>
      </c>
      <c r="AS20" s="141">
        <f>'Cost Buildup'!AS41</f>
        <v>1930849.9999999998</v>
      </c>
      <c r="AT20" s="141">
        <f>'Cost Buildup'!AT41</f>
        <v>1996974.9999999998</v>
      </c>
      <c r="AU20" s="141">
        <f>'Cost Buildup'!AU41</f>
        <v>1996974.9999999998</v>
      </c>
      <c r="AV20" s="141">
        <f>'Cost Buildup'!AV41</f>
        <v>1996974.9999999998</v>
      </c>
      <c r="AW20" s="141">
        <f>'Cost Buildup'!AW41</f>
        <v>2600696.2499999991</v>
      </c>
      <c r="AX20" s="141">
        <f>'Cost Buildup'!AX41</f>
        <v>2600696.2499999991</v>
      </c>
      <c r="AY20" s="141">
        <f>'Cost Buildup'!AY41</f>
        <v>2600696.2499999991</v>
      </c>
      <c r="AZ20" s="141">
        <f>'Cost Buildup'!AZ41</f>
        <v>2676739.9999999991</v>
      </c>
      <c r="BA20" s="141">
        <f>'Cost Buildup'!BA41</f>
        <v>2676739.9999999991</v>
      </c>
      <c r="BB20" s="141">
        <f>'Cost Buildup'!BB41</f>
        <v>2676739.9999999991</v>
      </c>
      <c r="BC20" s="141">
        <f>'Cost Buildup'!BC41</f>
        <v>2752783.7499999991</v>
      </c>
      <c r="BD20" s="141">
        <f>'Cost Buildup'!BD41</f>
        <v>2752783.7499999991</v>
      </c>
      <c r="BE20" s="141">
        <f>'Cost Buildup'!BE41</f>
        <v>2752783.7499999991</v>
      </c>
      <c r="BF20" s="141">
        <f>'Cost Buildup'!BF41</f>
        <v>2828827.4999999991</v>
      </c>
      <c r="BG20" s="141">
        <f>'Cost Buildup'!BG41</f>
        <v>2828827.4999999991</v>
      </c>
      <c r="BH20" s="141">
        <f>'Cost Buildup'!BH41</f>
        <v>2828827.4999999991</v>
      </c>
      <c r="BI20" s="141">
        <f>'Cost Buildup'!BI41</f>
        <v>3725383.3124999991</v>
      </c>
      <c r="BJ20" s="141">
        <f>'Cost Buildup'!BJ41</f>
        <v>3725383.3124999991</v>
      </c>
      <c r="BK20" s="141">
        <f>'Cost Buildup'!BK41</f>
        <v>3725383.3124999991</v>
      </c>
      <c r="BL20" s="141">
        <f>'Cost Buildup'!BL41</f>
        <v>3812833.6249999991</v>
      </c>
      <c r="BM20" s="141">
        <f>'Cost Buildup'!BM41</f>
        <v>3812833.6249999991</v>
      </c>
      <c r="BN20" s="141">
        <f>'Cost Buildup'!BN41</f>
        <v>3812833.6249999991</v>
      </c>
      <c r="BO20" s="141">
        <f>'Cost Buildup'!BO41</f>
        <v>3900283.9374999991</v>
      </c>
      <c r="BP20" s="141">
        <f>'Cost Buildup'!BP41</f>
        <v>3900283.9374999991</v>
      </c>
      <c r="BQ20" s="141">
        <f>'Cost Buildup'!BQ41</f>
        <v>3900283.9374999991</v>
      </c>
      <c r="BR20" s="141">
        <f>'Cost Buildup'!BR41</f>
        <v>3987734.2499999991</v>
      </c>
      <c r="BS20" s="141">
        <f>'Cost Buildup'!BS41</f>
        <v>3987734.2499999991</v>
      </c>
      <c r="BT20" s="141">
        <f>'Cost Buildup'!BT41</f>
        <v>3987734.2499999991</v>
      </c>
      <c r="BU20" s="11"/>
      <c r="BV20" s="37">
        <f t="shared" si="36"/>
        <v>3120000</v>
      </c>
      <c r="BW20" s="37">
        <f t="shared" si="36"/>
        <v>11971500</v>
      </c>
      <c r="BX20" s="37">
        <f t="shared" si="36"/>
        <v>22217999.999999996</v>
      </c>
      <c r="BY20" s="37">
        <f t="shared" si="36"/>
        <v>32577142.499999996</v>
      </c>
      <c r="BZ20" s="37">
        <f t="shared" si="36"/>
        <v>46278705.374999993</v>
      </c>
      <c r="CA20" s="11"/>
      <c r="CB20" s="230">
        <f t="shared" si="41"/>
        <v>0.53333333333333333</v>
      </c>
      <c r="CC20" s="230">
        <f t="shared" si="42"/>
        <v>0.31590405319822673</v>
      </c>
      <c r="CD20" s="230">
        <f t="shared" si="43"/>
        <v>0.21155164533820836</v>
      </c>
      <c r="CE20" s="230">
        <f t="shared" si="44"/>
        <v>0.19495596947935365</v>
      </c>
      <c r="CF20" s="230">
        <f t="shared" si="45"/>
        <v>0.2172709172535211</v>
      </c>
    </row>
    <row r="21" spans="1:84" x14ac:dyDescent="0.3">
      <c r="A21" s="152" t="s">
        <v>176</v>
      </c>
      <c r="B21" s="152" t="s">
        <v>117</v>
      </c>
      <c r="C21" s="136"/>
      <c r="D21" s="84"/>
      <c r="E21" s="84"/>
      <c r="F21" s="84"/>
      <c r="G21" s="84"/>
      <c r="H21" s="84"/>
      <c r="I21" s="84"/>
      <c r="J21" s="84"/>
      <c r="K21" s="84"/>
      <c r="M21" s="141">
        <f>'Cost Buildup'!M49</f>
        <v>125000</v>
      </c>
      <c r="N21" s="141">
        <f>'Cost Buildup'!N49</f>
        <v>125000</v>
      </c>
      <c r="O21" s="141">
        <f>'Cost Buildup'!O49</f>
        <v>125000</v>
      </c>
      <c r="P21" s="141">
        <f>'Cost Buildup'!P49</f>
        <v>125000</v>
      </c>
      <c r="Q21" s="141">
        <f>'Cost Buildup'!Q49</f>
        <v>125000</v>
      </c>
      <c r="R21" s="141">
        <f>'Cost Buildup'!R49</f>
        <v>125000</v>
      </c>
      <c r="S21" s="141">
        <f>'Cost Buildup'!S49</f>
        <v>125000</v>
      </c>
      <c r="T21" s="141">
        <f>'Cost Buildup'!T49</f>
        <v>125000</v>
      </c>
      <c r="U21" s="141">
        <f>'Cost Buildup'!U49</f>
        <v>125000</v>
      </c>
      <c r="V21" s="141">
        <f>'Cost Buildup'!V49</f>
        <v>125000</v>
      </c>
      <c r="W21" s="141">
        <f>'Cost Buildup'!W49</f>
        <v>125000</v>
      </c>
      <c r="X21" s="141">
        <f>'Cost Buildup'!X49</f>
        <v>125000</v>
      </c>
      <c r="Y21" s="141">
        <f>'Cost Buildup'!Y49</f>
        <v>230000</v>
      </c>
      <c r="Z21" s="141">
        <f>'Cost Buildup'!Z49</f>
        <v>230000</v>
      </c>
      <c r="AA21" s="141">
        <f>'Cost Buildup'!AA49</f>
        <v>230000</v>
      </c>
      <c r="AB21" s="141">
        <f>'Cost Buildup'!AB49</f>
        <v>230000</v>
      </c>
      <c r="AC21" s="141">
        <f>'Cost Buildup'!AC49</f>
        <v>230000</v>
      </c>
      <c r="AD21" s="141">
        <f>'Cost Buildup'!AD49</f>
        <v>230000</v>
      </c>
      <c r="AE21" s="141">
        <f>'Cost Buildup'!AE49</f>
        <v>460000</v>
      </c>
      <c r="AF21" s="141">
        <f>'Cost Buildup'!AF49</f>
        <v>460000</v>
      </c>
      <c r="AG21" s="141">
        <f>'Cost Buildup'!AG49</f>
        <v>460000</v>
      </c>
      <c r="AH21" s="141">
        <f>'Cost Buildup'!AH49</f>
        <v>460000</v>
      </c>
      <c r="AI21" s="141">
        <f>'Cost Buildup'!AI49</f>
        <v>460000</v>
      </c>
      <c r="AJ21" s="141">
        <f>'Cost Buildup'!AJ49</f>
        <v>460000</v>
      </c>
      <c r="AK21" s="141">
        <f>'Cost Buildup'!AK49</f>
        <v>859624.99999999988</v>
      </c>
      <c r="AL21" s="141">
        <f>'Cost Buildup'!AL49</f>
        <v>859624.99999999988</v>
      </c>
      <c r="AM21" s="141">
        <f>'Cost Buildup'!AM49</f>
        <v>859624.99999999988</v>
      </c>
      <c r="AN21" s="141">
        <f>'Cost Buildup'!AN49</f>
        <v>859624.99999999988</v>
      </c>
      <c r="AO21" s="141">
        <f>'Cost Buildup'!AO49</f>
        <v>859624.99999999988</v>
      </c>
      <c r="AP21" s="141">
        <f>'Cost Buildup'!AP49</f>
        <v>859624.99999999988</v>
      </c>
      <c r="AQ21" s="141">
        <f>'Cost Buildup'!AQ49</f>
        <v>859624.99999999988</v>
      </c>
      <c r="AR21" s="141">
        <f>'Cost Buildup'!AR49</f>
        <v>859624.99999999988</v>
      </c>
      <c r="AS21" s="141">
        <f>'Cost Buildup'!AS49</f>
        <v>859624.99999999988</v>
      </c>
      <c r="AT21" s="141">
        <f>'Cost Buildup'!AT49</f>
        <v>859624.99999999988</v>
      </c>
      <c r="AU21" s="141">
        <f>'Cost Buildup'!AU49</f>
        <v>859624.99999999988</v>
      </c>
      <c r="AV21" s="141">
        <f>'Cost Buildup'!AV49</f>
        <v>859624.99999999988</v>
      </c>
      <c r="AW21" s="141">
        <f>'Cost Buildup'!AW49</f>
        <v>988568.74999999977</v>
      </c>
      <c r="AX21" s="141">
        <f>'Cost Buildup'!AX49</f>
        <v>988568.74999999977</v>
      </c>
      <c r="AY21" s="141">
        <f>'Cost Buildup'!AY49</f>
        <v>988568.74999999977</v>
      </c>
      <c r="AZ21" s="141">
        <f>'Cost Buildup'!AZ49</f>
        <v>988568.74999999977</v>
      </c>
      <c r="BA21" s="141">
        <f>'Cost Buildup'!BA49</f>
        <v>988568.74999999977</v>
      </c>
      <c r="BB21" s="141">
        <f>'Cost Buildup'!BB49</f>
        <v>988568.74999999977</v>
      </c>
      <c r="BC21" s="141">
        <f>'Cost Buildup'!BC49</f>
        <v>988568.74999999977</v>
      </c>
      <c r="BD21" s="141">
        <f>'Cost Buildup'!BD49</f>
        <v>988568.74999999977</v>
      </c>
      <c r="BE21" s="141">
        <f>'Cost Buildup'!BE49</f>
        <v>988568.74999999977</v>
      </c>
      <c r="BF21" s="141">
        <f>'Cost Buildup'!BF49</f>
        <v>988568.74999999977</v>
      </c>
      <c r="BG21" s="141">
        <f>'Cost Buildup'!BG49</f>
        <v>988568.74999999977</v>
      </c>
      <c r="BH21" s="141">
        <f>'Cost Buildup'!BH49</f>
        <v>988568.74999999977</v>
      </c>
      <c r="BI21" s="141">
        <f>'Cost Buildup'!BI49</f>
        <v>1136854.0624999998</v>
      </c>
      <c r="BJ21" s="141">
        <f>'Cost Buildup'!BJ49</f>
        <v>1136854.0624999998</v>
      </c>
      <c r="BK21" s="141">
        <f>'Cost Buildup'!BK49</f>
        <v>1136854.0624999998</v>
      </c>
      <c r="BL21" s="141">
        <f>'Cost Buildup'!BL49</f>
        <v>1136854.0624999998</v>
      </c>
      <c r="BM21" s="141">
        <f>'Cost Buildup'!BM49</f>
        <v>1136854.0624999998</v>
      </c>
      <c r="BN21" s="141">
        <f>'Cost Buildup'!BN49</f>
        <v>1136854.0624999998</v>
      </c>
      <c r="BO21" s="141">
        <f>'Cost Buildup'!BO49</f>
        <v>1136854.0624999998</v>
      </c>
      <c r="BP21" s="141">
        <f>'Cost Buildup'!BP49</f>
        <v>1136854.0624999998</v>
      </c>
      <c r="BQ21" s="141">
        <f>'Cost Buildup'!BQ49</f>
        <v>1136854.0624999998</v>
      </c>
      <c r="BR21" s="141">
        <f>'Cost Buildup'!BR49</f>
        <v>1136854.0624999998</v>
      </c>
      <c r="BS21" s="141">
        <f>'Cost Buildup'!BS49</f>
        <v>1136854.0624999998</v>
      </c>
      <c r="BT21" s="141">
        <f>'Cost Buildup'!BT49</f>
        <v>1136854.0624999998</v>
      </c>
      <c r="BU21" s="11"/>
      <c r="BV21" s="37">
        <f t="shared" si="36"/>
        <v>1500000</v>
      </c>
      <c r="BW21" s="37">
        <f t="shared" si="36"/>
        <v>4140000</v>
      </c>
      <c r="BX21" s="37">
        <f t="shared" si="36"/>
        <v>10315499.999999998</v>
      </c>
      <c r="BY21" s="37">
        <f t="shared" si="36"/>
        <v>11862824.999999998</v>
      </c>
      <c r="BZ21" s="37">
        <f t="shared" si="36"/>
        <v>13642248.749999998</v>
      </c>
      <c r="CA21" s="11"/>
      <c r="CB21" s="230">
        <f t="shared" si="41"/>
        <v>0.25641025641025639</v>
      </c>
      <c r="CC21" s="230">
        <f t="shared" si="42"/>
        <v>0.10924635845471818</v>
      </c>
      <c r="CD21" s="230">
        <f t="shared" si="43"/>
        <v>9.8220406764168169E-2</v>
      </c>
      <c r="CE21" s="230">
        <f t="shared" si="44"/>
        <v>7.0992369838420097E-2</v>
      </c>
      <c r="CF21" s="230">
        <f t="shared" si="45"/>
        <v>6.4048116197183091E-2</v>
      </c>
    </row>
    <row r="22" spans="1:84" x14ac:dyDescent="0.3">
      <c r="A22" s="152" t="s">
        <v>176</v>
      </c>
      <c r="B22" s="152" t="s">
        <v>91</v>
      </c>
      <c r="C22" s="136"/>
      <c r="D22" s="84"/>
      <c r="E22" s="84"/>
      <c r="F22" s="84"/>
      <c r="G22" s="84"/>
      <c r="H22" s="84"/>
      <c r="I22" s="84"/>
      <c r="J22" s="84"/>
      <c r="K22" s="84"/>
      <c r="M22" s="24">
        <f>'Cost Buildup'!M58</f>
        <v>40000</v>
      </c>
      <c r="N22" s="24">
        <f>'Cost Buildup'!N58</f>
        <v>40000</v>
      </c>
      <c r="O22" s="24">
        <f>'Cost Buildup'!O58</f>
        <v>40000</v>
      </c>
      <c r="P22" s="24">
        <f>'Cost Buildup'!P58</f>
        <v>40000</v>
      </c>
      <c r="Q22" s="24">
        <f>'Cost Buildup'!Q58</f>
        <v>40000</v>
      </c>
      <c r="R22" s="24">
        <f>'Cost Buildup'!R58</f>
        <v>40000</v>
      </c>
      <c r="S22" s="24">
        <f>'Cost Buildup'!S58</f>
        <v>40000</v>
      </c>
      <c r="T22" s="24">
        <f>'Cost Buildup'!T58</f>
        <v>40000</v>
      </c>
      <c r="U22" s="24">
        <f>'Cost Buildup'!U58</f>
        <v>40000</v>
      </c>
      <c r="V22" s="24">
        <f>'Cost Buildup'!V58</f>
        <v>40000</v>
      </c>
      <c r="W22" s="24">
        <f>'Cost Buildup'!W58</f>
        <v>40000</v>
      </c>
      <c r="X22" s="24">
        <f>'Cost Buildup'!X58</f>
        <v>40000</v>
      </c>
      <c r="Y22" s="24">
        <f>'Cost Buildup'!Y58</f>
        <v>161000</v>
      </c>
      <c r="Z22" s="24">
        <f>'Cost Buildup'!Z58</f>
        <v>161000</v>
      </c>
      <c r="AA22" s="24">
        <f>'Cost Buildup'!AA58</f>
        <v>161000</v>
      </c>
      <c r="AB22" s="24">
        <f>'Cost Buildup'!AB58</f>
        <v>161000</v>
      </c>
      <c r="AC22" s="24">
        <f>'Cost Buildup'!AC58</f>
        <v>161000</v>
      </c>
      <c r="AD22" s="24">
        <f>'Cost Buildup'!AD58</f>
        <v>161000</v>
      </c>
      <c r="AE22" s="24">
        <f>'Cost Buildup'!AE58</f>
        <v>161000</v>
      </c>
      <c r="AF22" s="24">
        <f>'Cost Buildup'!AF58</f>
        <v>161000</v>
      </c>
      <c r="AG22" s="24">
        <f>'Cost Buildup'!AG58</f>
        <v>161000</v>
      </c>
      <c r="AH22" s="24">
        <f>'Cost Buildup'!AH58</f>
        <v>161000</v>
      </c>
      <c r="AI22" s="24">
        <f>'Cost Buildup'!AI58</f>
        <v>161000</v>
      </c>
      <c r="AJ22" s="24">
        <f>'Cost Buildup'!AJ58</f>
        <v>161000</v>
      </c>
      <c r="AK22" s="24">
        <f>'Cost Buildup'!AK58</f>
        <v>330624.99999999994</v>
      </c>
      <c r="AL22" s="24">
        <f>'Cost Buildup'!AL58</f>
        <v>330624.99999999994</v>
      </c>
      <c r="AM22" s="24">
        <f>'Cost Buildup'!AM58</f>
        <v>330624.99999999994</v>
      </c>
      <c r="AN22" s="24">
        <f>'Cost Buildup'!AN58</f>
        <v>330624.99999999994</v>
      </c>
      <c r="AO22" s="24">
        <f>'Cost Buildup'!AO58</f>
        <v>330624.99999999994</v>
      </c>
      <c r="AP22" s="24">
        <f>'Cost Buildup'!AP58</f>
        <v>330624.99999999994</v>
      </c>
      <c r="AQ22" s="24">
        <f>'Cost Buildup'!AQ58</f>
        <v>330624.99999999994</v>
      </c>
      <c r="AR22" s="24">
        <f>'Cost Buildup'!AR58</f>
        <v>330624.99999999994</v>
      </c>
      <c r="AS22" s="24">
        <f>'Cost Buildup'!AS58</f>
        <v>330624.99999999994</v>
      </c>
      <c r="AT22" s="24">
        <f>'Cost Buildup'!AT58</f>
        <v>330624.99999999994</v>
      </c>
      <c r="AU22" s="24">
        <f>'Cost Buildup'!AU58</f>
        <v>330624.99999999994</v>
      </c>
      <c r="AV22" s="24">
        <f>'Cost Buildup'!AV58</f>
        <v>330624.99999999994</v>
      </c>
      <c r="AW22" s="24">
        <f>'Cost Buildup'!AW58</f>
        <v>380218.74999999988</v>
      </c>
      <c r="AX22" s="24">
        <f>'Cost Buildup'!AX58</f>
        <v>380218.74999999988</v>
      </c>
      <c r="AY22" s="24">
        <f>'Cost Buildup'!AY58</f>
        <v>380218.74999999988</v>
      </c>
      <c r="AZ22" s="24">
        <f>'Cost Buildup'!AZ58</f>
        <v>380218.74999999988</v>
      </c>
      <c r="BA22" s="24">
        <f>'Cost Buildup'!BA58</f>
        <v>380218.74999999988</v>
      </c>
      <c r="BB22" s="24">
        <f>'Cost Buildup'!BB58</f>
        <v>380218.74999999988</v>
      </c>
      <c r="BC22" s="24">
        <f>'Cost Buildup'!BC58</f>
        <v>380218.74999999988</v>
      </c>
      <c r="BD22" s="24">
        <f>'Cost Buildup'!BD58</f>
        <v>380218.74999999988</v>
      </c>
      <c r="BE22" s="24">
        <f>'Cost Buildup'!BE58</f>
        <v>380218.74999999988</v>
      </c>
      <c r="BF22" s="24">
        <f>'Cost Buildup'!BF58</f>
        <v>380218.74999999988</v>
      </c>
      <c r="BG22" s="24">
        <f>'Cost Buildup'!BG58</f>
        <v>380218.74999999988</v>
      </c>
      <c r="BH22" s="24">
        <f>'Cost Buildup'!BH58</f>
        <v>380218.74999999988</v>
      </c>
      <c r="BI22" s="24">
        <f>'Cost Buildup'!BI58</f>
        <v>437251.56249999988</v>
      </c>
      <c r="BJ22" s="24">
        <f>'Cost Buildup'!BJ58</f>
        <v>437251.56249999988</v>
      </c>
      <c r="BK22" s="24">
        <f>'Cost Buildup'!BK58</f>
        <v>437251.56249999988</v>
      </c>
      <c r="BL22" s="24">
        <f>'Cost Buildup'!BL58</f>
        <v>437251.56249999988</v>
      </c>
      <c r="BM22" s="24">
        <f>'Cost Buildup'!BM58</f>
        <v>437251.56249999988</v>
      </c>
      <c r="BN22" s="24">
        <f>'Cost Buildup'!BN58</f>
        <v>437251.56249999988</v>
      </c>
      <c r="BO22" s="24">
        <f>'Cost Buildup'!BO58</f>
        <v>437251.56249999988</v>
      </c>
      <c r="BP22" s="24">
        <f>'Cost Buildup'!BP58</f>
        <v>437251.56249999988</v>
      </c>
      <c r="BQ22" s="24">
        <f>'Cost Buildup'!BQ58</f>
        <v>437251.56249999988</v>
      </c>
      <c r="BR22" s="24">
        <f>'Cost Buildup'!BR58</f>
        <v>437251.56249999988</v>
      </c>
      <c r="BS22" s="24">
        <f>'Cost Buildup'!BS58</f>
        <v>437251.56249999988</v>
      </c>
      <c r="BT22" s="24">
        <f>'Cost Buildup'!BT58</f>
        <v>437251.56249999988</v>
      </c>
      <c r="BU22" s="11"/>
      <c r="BV22" s="37">
        <f t="shared" si="36"/>
        <v>480000</v>
      </c>
      <c r="BW22" s="37">
        <f t="shared" si="36"/>
        <v>1932000</v>
      </c>
      <c r="BX22" s="37">
        <f t="shared" si="36"/>
        <v>3967499.9999999995</v>
      </c>
      <c r="BY22" s="37">
        <f t="shared" si="36"/>
        <v>4562624.9999999991</v>
      </c>
      <c r="BZ22" s="37">
        <f t="shared" si="36"/>
        <v>5247018.7499999991</v>
      </c>
      <c r="CA22" s="11"/>
      <c r="CB22" s="230">
        <f t="shared" si="41"/>
        <v>8.2051282051282051E-2</v>
      </c>
      <c r="CC22" s="230">
        <f t="shared" si="42"/>
        <v>5.0981633945535149E-2</v>
      </c>
      <c r="CD22" s="230">
        <f t="shared" si="43"/>
        <v>3.7777079524680068E-2</v>
      </c>
      <c r="CE22" s="230">
        <f t="shared" si="44"/>
        <v>2.7304757630161575E-2</v>
      </c>
      <c r="CF22" s="230">
        <f t="shared" si="45"/>
        <v>2.4633890845070418E-2</v>
      </c>
    </row>
    <row r="23" spans="1:84" x14ac:dyDescent="0.3">
      <c r="A23" s="152" t="s">
        <v>176</v>
      </c>
      <c r="B23" s="152" t="s">
        <v>197</v>
      </c>
      <c r="C23" s="142"/>
      <c r="D23" s="84"/>
      <c r="E23" s="84"/>
      <c r="F23" s="84"/>
      <c r="G23" s="84"/>
      <c r="H23" s="84"/>
      <c r="I23" s="84"/>
      <c r="J23" s="84"/>
      <c r="K23" s="84"/>
      <c r="M23" s="24">
        <f>'Cost Buildup'!M63</f>
        <v>240000</v>
      </c>
      <c r="N23" s="24">
        <f>'Cost Buildup'!N63</f>
        <v>240000</v>
      </c>
      <c r="O23" s="24">
        <f>'Cost Buildup'!O63</f>
        <v>240000</v>
      </c>
      <c r="P23" s="24">
        <f>'Cost Buildup'!P63</f>
        <v>240000</v>
      </c>
      <c r="Q23" s="24">
        <f>'Cost Buildup'!Q63</f>
        <v>240000</v>
      </c>
      <c r="R23" s="24">
        <f>'Cost Buildup'!R63</f>
        <v>240000</v>
      </c>
      <c r="S23" s="24">
        <f>'Cost Buildup'!S63</f>
        <v>300000</v>
      </c>
      <c r="T23" s="24">
        <f>'Cost Buildup'!T63</f>
        <v>300000</v>
      </c>
      <c r="U23" s="24">
        <f>'Cost Buildup'!U63</f>
        <v>300000</v>
      </c>
      <c r="V23" s="24">
        <f>'Cost Buildup'!V63</f>
        <v>300000</v>
      </c>
      <c r="W23" s="24">
        <f>'Cost Buildup'!W63</f>
        <v>300000</v>
      </c>
      <c r="X23" s="24">
        <f>'Cost Buildup'!X63</f>
        <v>300000</v>
      </c>
      <c r="Y23" s="24">
        <f>'Cost Buildup'!Y63</f>
        <v>482999.99999999994</v>
      </c>
      <c r="Z23" s="24">
        <f>'Cost Buildup'!Z63</f>
        <v>482999.99999999994</v>
      </c>
      <c r="AA23" s="24">
        <f>'Cost Buildup'!AA63</f>
        <v>482999.99999999994</v>
      </c>
      <c r="AB23" s="24">
        <f>'Cost Buildup'!AB63</f>
        <v>482999.99999999994</v>
      </c>
      <c r="AC23" s="24">
        <f>'Cost Buildup'!AC63</f>
        <v>482999.99999999994</v>
      </c>
      <c r="AD23" s="24">
        <f>'Cost Buildup'!AD63</f>
        <v>482999.99999999994</v>
      </c>
      <c r="AE23" s="24">
        <f>'Cost Buildup'!AE63</f>
        <v>482999.99999999994</v>
      </c>
      <c r="AF23" s="24">
        <f>'Cost Buildup'!AF63</f>
        <v>482999.99999999994</v>
      </c>
      <c r="AG23" s="24">
        <f>'Cost Buildup'!AG63</f>
        <v>482999.99999999994</v>
      </c>
      <c r="AH23" s="24">
        <f>'Cost Buildup'!AH63</f>
        <v>482999.99999999994</v>
      </c>
      <c r="AI23" s="24">
        <f>'Cost Buildup'!AI63</f>
        <v>482999.99999999994</v>
      </c>
      <c r="AJ23" s="24">
        <f>'Cost Buildup'!AJ63</f>
        <v>482999.99999999994</v>
      </c>
      <c r="AK23" s="24">
        <f>'Cost Buildup'!AK63</f>
        <v>793499.99999999988</v>
      </c>
      <c r="AL23" s="24">
        <f>'Cost Buildup'!AL63</f>
        <v>793499.99999999988</v>
      </c>
      <c r="AM23" s="24">
        <f>'Cost Buildup'!AM63</f>
        <v>793499.99999999988</v>
      </c>
      <c r="AN23" s="24">
        <f>'Cost Buildup'!AN63</f>
        <v>793499.99999999988</v>
      </c>
      <c r="AO23" s="24">
        <f>'Cost Buildup'!AO63</f>
        <v>793499.99999999988</v>
      </c>
      <c r="AP23" s="24">
        <f>'Cost Buildup'!AP63</f>
        <v>793499.99999999988</v>
      </c>
      <c r="AQ23" s="24">
        <f>'Cost Buildup'!AQ63</f>
        <v>793499.99999999988</v>
      </c>
      <c r="AR23" s="24">
        <f>'Cost Buildup'!AR63</f>
        <v>793499.99999999988</v>
      </c>
      <c r="AS23" s="24">
        <f>'Cost Buildup'!AS63</f>
        <v>793499.99999999988</v>
      </c>
      <c r="AT23" s="24">
        <f>'Cost Buildup'!AT63</f>
        <v>793499.99999999988</v>
      </c>
      <c r="AU23" s="24">
        <f>'Cost Buildup'!AU63</f>
        <v>793499.99999999988</v>
      </c>
      <c r="AV23" s="24">
        <f>'Cost Buildup'!AV63</f>
        <v>793499.99999999988</v>
      </c>
      <c r="AW23" s="24">
        <f>'Cost Buildup'!AW63</f>
        <v>912524.99999999977</v>
      </c>
      <c r="AX23" s="24">
        <f>'Cost Buildup'!AX63</f>
        <v>912524.99999999977</v>
      </c>
      <c r="AY23" s="24">
        <f>'Cost Buildup'!AY63</f>
        <v>912524.99999999977</v>
      </c>
      <c r="AZ23" s="24">
        <f>'Cost Buildup'!AZ63</f>
        <v>912524.99999999977</v>
      </c>
      <c r="BA23" s="24">
        <f>'Cost Buildup'!BA63</f>
        <v>912524.99999999977</v>
      </c>
      <c r="BB23" s="24">
        <f>'Cost Buildup'!BB63</f>
        <v>912524.99999999977</v>
      </c>
      <c r="BC23" s="24">
        <f>'Cost Buildup'!BC63</f>
        <v>912524.99999999977</v>
      </c>
      <c r="BD23" s="24">
        <f>'Cost Buildup'!BD63</f>
        <v>912524.99999999977</v>
      </c>
      <c r="BE23" s="24">
        <f>'Cost Buildup'!BE63</f>
        <v>912524.99999999977</v>
      </c>
      <c r="BF23" s="24">
        <f>'Cost Buildup'!BF63</f>
        <v>912524.99999999977</v>
      </c>
      <c r="BG23" s="24">
        <f>'Cost Buildup'!BG63</f>
        <v>912524.99999999977</v>
      </c>
      <c r="BH23" s="24">
        <f>'Cost Buildup'!BH63</f>
        <v>912524.99999999977</v>
      </c>
      <c r="BI23" s="24">
        <f>'Cost Buildup'!BI63</f>
        <v>1049403.7499999998</v>
      </c>
      <c r="BJ23" s="24">
        <f>'Cost Buildup'!BJ63</f>
        <v>1049403.7499999998</v>
      </c>
      <c r="BK23" s="24">
        <f>'Cost Buildup'!BK63</f>
        <v>1049403.7499999998</v>
      </c>
      <c r="BL23" s="24">
        <f>'Cost Buildup'!BL63</f>
        <v>1049403.7499999998</v>
      </c>
      <c r="BM23" s="24">
        <f>'Cost Buildup'!BM63</f>
        <v>1049403.7499999998</v>
      </c>
      <c r="BN23" s="24">
        <f>'Cost Buildup'!BN63</f>
        <v>1049403.7499999998</v>
      </c>
      <c r="BO23" s="24">
        <f>'Cost Buildup'!BO63</f>
        <v>1049403.7499999998</v>
      </c>
      <c r="BP23" s="24">
        <f>'Cost Buildup'!BP63</f>
        <v>1049403.7499999998</v>
      </c>
      <c r="BQ23" s="24">
        <f>'Cost Buildup'!BQ63</f>
        <v>1049403.7499999998</v>
      </c>
      <c r="BR23" s="24">
        <f>'Cost Buildup'!BR63</f>
        <v>1049403.7499999998</v>
      </c>
      <c r="BS23" s="24">
        <f>'Cost Buildup'!BS63</f>
        <v>1049403.7499999998</v>
      </c>
      <c r="BT23" s="24">
        <f>'Cost Buildup'!BT63</f>
        <v>1049403.7499999998</v>
      </c>
      <c r="BU23" s="11"/>
      <c r="BV23" s="37">
        <f t="shared" si="36"/>
        <v>3240000</v>
      </c>
      <c r="BW23" s="37">
        <f t="shared" si="36"/>
        <v>5795999.9999999991</v>
      </c>
      <c r="BX23" s="37">
        <f t="shared" si="36"/>
        <v>9521999.9999999981</v>
      </c>
      <c r="BY23" s="37">
        <f t="shared" si="36"/>
        <v>10950299.999999998</v>
      </c>
      <c r="BZ23" s="37">
        <f t="shared" si="36"/>
        <v>12592844.999999998</v>
      </c>
      <c r="CA23" s="11"/>
      <c r="CB23" s="230">
        <f t="shared" si="41"/>
        <v>0.55384615384615388</v>
      </c>
      <c r="CC23" s="230">
        <f t="shared" si="42"/>
        <v>0.15294490183660542</v>
      </c>
      <c r="CD23" s="230">
        <f t="shared" si="43"/>
        <v>9.0664990859232159E-2</v>
      </c>
      <c r="CE23" s="230">
        <f t="shared" si="44"/>
        <v>6.5531418312387776E-2</v>
      </c>
      <c r="CF23" s="230">
        <f t="shared" si="45"/>
        <v>5.9121338028169004E-2</v>
      </c>
    </row>
    <row r="24" spans="1:84" x14ac:dyDescent="0.3">
      <c r="A24" s="137" t="s">
        <v>182</v>
      </c>
      <c r="B24" s="137"/>
      <c r="C24" s="137"/>
      <c r="D24" s="137"/>
      <c r="E24" s="137"/>
      <c r="F24" s="137"/>
      <c r="G24" s="138"/>
      <c r="H24" s="138"/>
      <c r="I24" s="138"/>
      <c r="J24" s="138"/>
      <c r="K24" s="143"/>
      <c r="L24" s="124"/>
      <c r="M24" s="49">
        <f t="shared" ref="M24:AR24" si="47">SUM(M16:M19)</f>
        <v>803000</v>
      </c>
      <c r="N24" s="49">
        <f t="shared" si="47"/>
        <v>805041.3610505762</v>
      </c>
      <c r="O24" s="49">
        <f t="shared" si="47"/>
        <v>807082.72210115264</v>
      </c>
      <c r="P24" s="49">
        <f t="shared" si="47"/>
        <v>992278.86434825766</v>
      </c>
      <c r="Q24" s="49">
        <f t="shared" si="47"/>
        <v>1003578.1940597153</v>
      </c>
      <c r="R24" s="49">
        <f t="shared" si="47"/>
        <v>1005722.742574644</v>
      </c>
      <c r="S24" s="49">
        <f t="shared" si="47"/>
        <v>1609105.5406618034</v>
      </c>
      <c r="T24" s="49">
        <f t="shared" si="47"/>
        <v>1611456.4641054375</v>
      </c>
      <c r="U24" s="49">
        <f t="shared" si="47"/>
        <v>1623220.1374064814</v>
      </c>
      <c r="V24" s="49">
        <f t="shared" si="47"/>
        <v>2126015.6853510505</v>
      </c>
      <c r="W24" s="49">
        <f t="shared" si="47"/>
        <v>2138088.9210451525</v>
      </c>
      <c r="X24" s="49">
        <f t="shared" si="47"/>
        <v>2140697.8131496683</v>
      </c>
      <c r="Y24" s="49">
        <f t="shared" si="47"/>
        <v>2884240.5787569899</v>
      </c>
      <c r="Z24" s="49">
        <f t="shared" si="47"/>
        <v>2887210.6269867392</v>
      </c>
      <c r="AA24" s="49">
        <f t="shared" si="47"/>
        <v>2899902.9874669565</v>
      </c>
      <c r="AB24" s="49">
        <f t="shared" si="47"/>
        <v>3172398.5354115255</v>
      </c>
      <c r="AC24" s="49">
        <f t="shared" si="47"/>
        <v>3185297.2708204477</v>
      </c>
      <c r="AD24" s="49">
        <f t="shared" si="47"/>
        <v>3188422.1002467256</v>
      </c>
      <c r="AE24" s="49">
        <f t="shared" si="47"/>
        <v>5556905.92453977</v>
      </c>
      <c r="AF24" s="49">
        <f t="shared" si="47"/>
        <v>5570836.5345922168</v>
      </c>
      <c r="AG24" s="49">
        <f t="shared" si="47"/>
        <v>5584870.3321090173</v>
      </c>
      <c r="AH24" s="49">
        <f t="shared" si="47"/>
        <v>6010974.2538415734</v>
      </c>
      <c r="AI24" s="49">
        <f t="shared" si="47"/>
        <v>6025317.6137514319</v>
      </c>
      <c r="AJ24" s="49">
        <f t="shared" si="47"/>
        <v>6049950.8169656955</v>
      </c>
      <c r="AK24" s="49">
        <f t="shared" si="47"/>
        <v>7471109.6412587389</v>
      </c>
      <c r="AL24" s="49">
        <f t="shared" si="47"/>
        <v>7486330.0946155936</v>
      </c>
      <c r="AM24" s="49">
        <f t="shared" si="47"/>
        <v>7501653.7354368009</v>
      </c>
      <c r="AN24" s="49">
        <f t="shared" si="47"/>
        <v>7736391.6252598781</v>
      </c>
      <c r="AO24" s="49">
        <f t="shared" si="47"/>
        <v>7752024.8284741435</v>
      </c>
      <c r="AP24" s="49">
        <f t="shared" si="47"/>
        <v>7767761.2191527598</v>
      </c>
      <c r="AQ24" s="49">
        <f t="shared" si="47"/>
        <v>8185544.2331915945</v>
      </c>
      <c r="AR24" s="49">
        <f t="shared" si="47"/>
        <v>8201641.7799954452</v>
      </c>
      <c r="AS24" s="49">
        <f t="shared" ref="AS24:BT24" si="48">SUM(AS16:AS19)</f>
        <v>8217842.5142636485</v>
      </c>
      <c r="AT24" s="49">
        <f t="shared" si="48"/>
        <v>8447574.0291580204</v>
      </c>
      <c r="AU24" s="49">
        <f t="shared" si="48"/>
        <v>8464032.7320871055</v>
      </c>
      <c r="AV24" s="49">
        <f t="shared" si="48"/>
        <v>8491400.4031067118</v>
      </c>
      <c r="AW24" s="49">
        <f t="shared" si="48"/>
        <v>9985430.3221300617</v>
      </c>
      <c r="AX24" s="49">
        <f t="shared" si="48"/>
        <v>10002456.556113087</v>
      </c>
      <c r="AY24" s="49">
        <f t="shared" si="48"/>
        <v>10030546.539383162</v>
      </c>
      <c r="AZ24" s="49">
        <f t="shared" si="48"/>
        <v>10275086.647581941</v>
      </c>
      <c r="BA24" s="49">
        <f t="shared" si="48"/>
        <v>10303589.380709425</v>
      </c>
      <c r="BB24" s="49">
        <f t="shared" si="48"/>
        <v>10321183.145746388</v>
      </c>
      <c r="BC24" s="49">
        <f t="shared" si="48"/>
        <v>10569657.721750509</v>
      </c>
      <c r="BD24" s="49">
        <f t="shared" si="48"/>
        <v>10587561.04918053</v>
      </c>
      <c r="BE24" s="49">
        <f t="shared" si="48"/>
        <v>10616837.688290659</v>
      </c>
      <c r="BF24" s="49">
        <f t="shared" si="48"/>
        <v>10873886.170277424</v>
      </c>
      <c r="BG24" s="49">
        <f t="shared" si="48"/>
        <v>10892253.841297032</v>
      </c>
      <c r="BH24" s="49">
        <f t="shared" si="48"/>
        <v>10922149.605193276</v>
      </c>
      <c r="BI24" s="49">
        <f t="shared" si="48"/>
        <v>12786310.428096069</v>
      </c>
      <c r="BJ24" s="49">
        <f t="shared" si="48"/>
        <v>12816825.316778429</v>
      </c>
      <c r="BK24" s="49">
        <f t="shared" si="48"/>
        <v>12847546.580389494</v>
      </c>
      <c r="BL24" s="49">
        <f t="shared" si="48"/>
        <v>13114155.811770253</v>
      </c>
      <c r="BM24" s="49">
        <f t="shared" si="48"/>
        <v>13145341.418970905</v>
      </c>
      <c r="BN24" s="49">
        <f t="shared" si="48"/>
        <v>13164998.933294918</v>
      </c>
      <c r="BO24" s="49">
        <f t="shared" si="48"/>
        <v>13435982.070658322</v>
      </c>
      <c r="BP24" s="49">
        <f t="shared" si="48"/>
        <v>13467786.802645087</v>
      </c>
      <c r="BQ24" s="49">
        <f t="shared" si="48"/>
        <v>13499797.909560559</v>
      </c>
      <c r="BR24" s="49">
        <f t="shared" si="48"/>
        <v>13763806.546638783</v>
      </c>
      <c r="BS24" s="49">
        <f t="shared" si="48"/>
        <v>13796281.99714384</v>
      </c>
      <c r="BT24" s="49">
        <f t="shared" si="48"/>
        <v>13828963.822577603</v>
      </c>
      <c r="BU24" s="11"/>
      <c r="BV24" s="130">
        <f t="shared" si="36"/>
        <v>16665288.445853939</v>
      </c>
      <c r="BW24" s="130">
        <f t="shared" si="36"/>
        <v>53016327.575489089</v>
      </c>
      <c r="BX24" s="130">
        <f t="shared" si="36"/>
        <v>95723306.836000443</v>
      </c>
      <c r="BY24" s="130">
        <f t="shared" si="36"/>
        <v>125380638.66765349</v>
      </c>
      <c r="BZ24" s="130">
        <f t="shared" si="36"/>
        <v>159667797.63852426</v>
      </c>
      <c r="CA24" s="11"/>
      <c r="CB24" s="234">
        <f t="shared" ref="CB24" si="49">BV24/BV$7</f>
        <v>2.848767255701528</v>
      </c>
      <c r="CC24" s="234">
        <f t="shared" ref="CC24" si="50">BW24/BW$7</f>
        <v>1.3989953445083674</v>
      </c>
      <c r="CD24" s="234">
        <f t="shared" ref="CD24" si="51">BX24/BX$7</f>
        <v>0.9114422116468659</v>
      </c>
      <c r="CE24" s="234">
        <f t="shared" ref="CE24" si="52">BY24/BY$7</f>
        <v>0.75033296629355761</v>
      </c>
      <c r="CF24" s="234">
        <f t="shared" ref="CF24" si="53">BZ24/BZ$7</f>
        <v>0.74961407342030173</v>
      </c>
    </row>
    <row r="25" spans="1:84" x14ac:dyDescent="0.3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BU25" s="11"/>
      <c r="BV25" s="24"/>
      <c r="BW25" s="24"/>
      <c r="BX25" s="24"/>
      <c r="BY25" s="24"/>
      <c r="BZ25" s="24"/>
      <c r="CA25" s="11"/>
    </row>
    <row r="26" spans="1:84" x14ac:dyDescent="0.3">
      <c r="A26" s="153"/>
      <c r="B26" s="154" t="s">
        <v>90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5"/>
      <c r="M26" s="156">
        <f t="shared" ref="M26:AR26" si="54">M13-M24</f>
        <v>-877780</v>
      </c>
      <c r="N26" s="156">
        <f t="shared" si="54"/>
        <v>-849487.80172854231</v>
      </c>
      <c r="O26" s="156">
        <f t="shared" si="54"/>
        <v>-821195.60345708486</v>
      </c>
      <c r="P26" s="156">
        <f t="shared" si="54"/>
        <v>-959658.18638215598</v>
      </c>
      <c r="Q26" s="156">
        <f t="shared" si="54"/>
        <v>-960623.95677157969</v>
      </c>
      <c r="R26" s="156">
        <f t="shared" si="54"/>
        <v>-912434.94596447458</v>
      </c>
      <c r="S26" s="156">
        <f t="shared" si="54"/>
        <v>-1408084.1847296001</v>
      </c>
      <c r="T26" s="156">
        <f t="shared" si="54"/>
        <v>-1290101.5488512004</v>
      </c>
      <c r="U26" s="156">
        <f t="shared" si="54"/>
        <v>-1221531.6628302103</v>
      </c>
      <c r="V26" s="156">
        <f t="shared" si="54"/>
        <v>-1554793.6514527453</v>
      </c>
      <c r="W26" s="156">
        <f t="shared" si="54"/>
        <v>-1426533.3278248135</v>
      </c>
      <c r="X26" s="156">
        <f t="shared" si="54"/>
        <v>-1248808.6606072956</v>
      </c>
      <c r="Y26" s="156">
        <f t="shared" si="54"/>
        <v>-1866097.8668925832</v>
      </c>
      <c r="Z26" s="156">
        <f t="shared" si="54"/>
        <v>-1672734.3558002985</v>
      </c>
      <c r="AA26" s="156">
        <f t="shared" si="54"/>
        <v>-1533093.1569584818</v>
      </c>
      <c r="AB26" s="156">
        <f t="shared" si="54"/>
        <v>-1586615.145581017</v>
      </c>
      <c r="AC26" s="156">
        <f t="shared" si="54"/>
        <v>-1415180.3216679054</v>
      </c>
      <c r="AD26" s="156">
        <f t="shared" si="54"/>
        <v>-1189971.5917721493</v>
      </c>
      <c r="AE26" s="156">
        <f t="shared" si="54"/>
        <v>-3233921.8567431597</v>
      </c>
      <c r="AF26" s="156">
        <f t="shared" si="54"/>
        <v>-2823518.9074735725</v>
      </c>
      <c r="AG26" s="156">
        <f t="shared" si="54"/>
        <v>-2413219.1456683394</v>
      </c>
      <c r="AH26" s="156">
        <f t="shared" si="54"/>
        <v>-2394629.5080788615</v>
      </c>
      <c r="AI26" s="156">
        <f t="shared" si="54"/>
        <v>-1946639.3086666861</v>
      </c>
      <c r="AJ26" s="156">
        <f t="shared" si="54"/>
        <v>-1552938.9525589161</v>
      </c>
      <c r="AK26" s="156">
        <f t="shared" si="54"/>
        <v>-2593884.2175299255</v>
      </c>
      <c r="AL26" s="156">
        <f t="shared" si="54"/>
        <v>-2153171.1115647461</v>
      </c>
      <c r="AM26" s="156">
        <f t="shared" si="54"/>
        <v>-1712561.1930639194</v>
      </c>
      <c r="AN26" s="156">
        <f t="shared" si="54"/>
        <v>-1555685.5235649627</v>
      </c>
      <c r="AO26" s="156">
        <f t="shared" si="54"/>
        <v>-1123385.1674571941</v>
      </c>
      <c r="AP26" s="156">
        <f t="shared" si="54"/>
        <v>-691187.9988137763</v>
      </c>
      <c r="AQ26" s="156">
        <f t="shared" si="54"/>
        <v>-817717.45353057794</v>
      </c>
      <c r="AR26" s="156">
        <f t="shared" si="54"/>
        <v>-449881.44101239461</v>
      </c>
      <c r="AS26" s="156">
        <f t="shared" ref="AS26:BT26" si="55">AS13-AS24</f>
        <v>-82148.615958563983</v>
      </c>
      <c r="AT26" s="156">
        <f t="shared" si="55"/>
        <v>19973.428469097242</v>
      </c>
      <c r="AU26" s="156">
        <f t="shared" si="55"/>
        <v>345448.28486204706</v>
      </c>
      <c r="AV26" s="156">
        <f t="shared" si="55"/>
        <v>611614.17316447385</v>
      </c>
      <c r="AW26" s="156">
        <f t="shared" si="55"/>
        <v>-633002.18653684109</v>
      </c>
      <c r="AX26" s="156">
        <f t="shared" si="55"/>
        <v>-230934.86119783297</v>
      </c>
      <c r="AY26" s="156">
        <f t="shared" si="55"/>
        <v>106828.71485412493</v>
      </c>
      <c r="AZ26" s="156">
        <f t="shared" si="55"/>
        <v>271822.16597738117</v>
      </c>
      <c r="BA26" s="156">
        <f t="shared" si="55"/>
        <v>607172.99217193201</v>
      </c>
      <c r="BB26" s="156">
        <f t="shared" si="55"/>
        <v>1006672.7864570022</v>
      </c>
      <c r="BC26" s="156">
        <f t="shared" si="55"/>
        <v>912131.76977491379</v>
      </c>
      <c r="BD26" s="156">
        <f t="shared" si="55"/>
        <v>1109322.0016669277</v>
      </c>
      <c r="BE26" s="156">
        <f t="shared" si="55"/>
        <v>1241898.9218788315</v>
      </c>
      <c r="BF26" s="156">
        <f t="shared" si="55"/>
        <v>1125143.9992141016</v>
      </c>
      <c r="BG26" s="156">
        <f t="shared" si="55"/>
        <v>1307869.8875165265</v>
      </c>
      <c r="BH26" s="156">
        <f t="shared" si="55"/>
        <v>1425827.6829423159</v>
      </c>
      <c r="BI26" s="156">
        <f t="shared" si="55"/>
        <v>-483235.58063844219</v>
      </c>
      <c r="BJ26" s="156">
        <f t="shared" si="55"/>
        <v>-328544.90999876894</v>
      </c>
      <c r="BK26" s="156">
        <f t="shared" si="55"/>
        <v>-174060.61428779922</v>
      </c>
      <c r="BL26" s="156">
        <f t="shared" si="55"/>
        <v>-251544.28634652495</v>
      </c>
      <c r="BM26" s="156">
        <f t="shared" si="55"/>
        <v>-83524.334225144237</v>
      </c>
      <c r="BN26" s="156">
        <f t="shared" si="55"/>
        <v>154587.71077287756</v>
      </c>
      <c r="BO26" s="156">
        <f t="shared" si="55"/>
        <v>73250.132731508464</v>
      </c>
      <c r="BP26" s="156">
        <f t="shared" si="55"/>
        <v>238650.96006677672</v>
      </c>
      <c r="BQ26" s="156">
        <f t="shared" si="55"/>
        <v>403845.41247333772</v>
      </c>
      <c r="BR26" s="156">
        <f t="shared" si="55"/>
        <v>331122.33471714891</v>
      </c>
      <c r="BS26" s="156">
        <f t="shared" si="55"/>
        <v>497852.44353412464</v>
      </c>
      <c r="BT26" s="156">
        <f t="shared" si="55"/>
        <v>664376.17742239684</v>
      </c>
      <c r="BU26" s="11"/>
      <c r="BV26" s="216">
        <f>BV13-BV24</f>
        <v>-13531033.530599702</v>
      </c>
      <c r="BW26" s="216">
        <f>BW13-BW24</f>
        <v>-23628560.117861971</v>
      </c>
      <c r="BX26" s="216">
        <f>BX13-BX24</f>
        <v>-10202586.836000443</v>
      </c>
      <c r="BY26" s="216">
        <f>BY13-BY24</f>
        <v>8250753.8747193962</v>
      </c>
      <c r="BZ26" s="216">
        <f>BZ13-BZ24</f>
        <v>1042775.4462215006</v>
      </c>
      <c r="CA26" s="11"/>
      <c r="CB26" s="232">
        <f>BV26/BV$7</f>
        <v>-2.3129971847178976</v>
      </c>
      <c r="CC26" s="232">
        <f t="shared" ref="CC26" si="56">BW26/BW$7</f>
        <v>-0.62351066386589538</v>
      </c>
      <c r="CD26" s="232">
        <f t="shared" ref="CD26" si="57">BX26/BX$7</f>
        <v>-9.7145289038700136E-2</v>
      </c>
      <c r="CE26" s="232">
        <f t="shared" ref="CE26" si="58">BY26/BY$7</f>
        <v>4.9376145270612785E-2</v>
      </c>
      <c r="CF26" s="232">
        <f t="shared" ref="CF26" si="59">BZ26/BZ$7</f>
        <v>4.8956593719319281E-3</v>
      </c>
    </row>
    <row r="27" spans="1:84" x14ac:dyDescent="0.3">
      <c r="A27" s="84"/>
      <c r="B27" s="140" t="s">
        <v>183</v>
      </c>
      <c r="C27" s="84"/>
      <c r="D27" s="84"/>
      <c r="E27" s="84"/>
      <c r="F27" s="84"/>
      <c r="G27" s="84"/>
      <c r="H27" s="84"/>
      <c r="I27" s="84"/>
      <c r="J27" s="84"/>
      <c r="K27" s="84"/>
      <c r="M27" s="77">
        <f>M26/M$7</f>
        <v>-21.944500000000001</v>
      </c>
      <c r="N27" s="77">
        <f t="shared" ref="N27" si="60">N26/N$7</f>
        <v>-10.618597521606778</v>
      </c>
      <c r="O27" s="77">
        <f t="shared" ref="O27" si="61">O26/O$7</f>
        <v>-6.8432966954757068</v>
      </c>
      <c r="P27" s="77">
        <f t="shared" ref="P27" si="62">P26/P$7</f>
        <v>-5.3314343687897559</v>
      </c>
      <c r="Q27" s="77">
        <f t="shared" ref="Q27" si="63">Q26/Q$7</f>
        <v>-4.0025998198815822</v>
      </c>
      <c r="R27" s="77">
        <f t="shared" ref="R27" si="64">R26/R$7</f>
        <v>-3.0414498198815818</v>
      </c>
      <c r="S27" s="77">
        <f t="shared" ref="S27" si="65">S26/S$7</f>
        <v>-3.2746143830920933</v>
      </c>
      <c r="T27" s="77">
        <f t="shared" ref="T27" si="66">T26/T$7</f>
        <v>-2.3037527658057151</v>
      </c>
      <c r="U27" s="77">
        <f t="shared" ref="U27" si="67">U26/U$7</f>
        <v>-1.7703357432321889</v>
      </c>
      <c r="V27" s="77">
        <f t="shared" ref="V27" si="68">V26/V$7</f>
        <v>-1.7668109675599379</v>
      </c>
      <c r="W27" s="77">
        <f t="shared" ref="W27" si="69">W26/W$7</f>
        <v>-1.3332087175932836</v>
      </c>
      <c r="X27" s="77">
        <f t="shared" ref="X27" si="70">X26/X$7</f>
        <v>-0.99111798460896472</v>
      </c>
      <c r="Y27" s="77">
        <f t="shared" ref="Y27" si="71">Y26/Y$7</f>
        <v>-1.272918053814859</v>
      </c>
      <c r="Z27" s="77">
        <f t="shared" ref="Z27" si="72">Z26/Z$7</f>
        <v>-1.0004392080145326</v>
      </c>
      <c r="AA27" s="77">
        <f t="shared" ref="AA27" si="73">AA26/AA$7</f>
        <v>-0.81634353405669957</v>
      </c>
      <c r="AB27" s="77">
        <f t="shared" ref="AB27" si="74">AB26/AB$7</f>
        <v>-0.74981812173015927</v>
      </c>
      <c r="AC27" s="77">
        <f t="shared" ref="AC27" si="75">AC26/AC$7</f>
        <v>-0.60118110521151458</v>
      </c>
      <c r="AD27" s="77">
        <f t="shared" ref="AD27" si="76">AD26/AD$7</f>
        <v>-0.45909397830715637</v>
      </c>
      <c r="AE27" s="77">
        <f t="shared" ref="AE27" si="77">AE26/AE$7</f>
        <v>-1.0533947416101497</v>
      </c>
      <c r="AF27" s="77">
        <f t="shared" ref="AF27" si="78">AF26/AF$7</f>
        <v>-0.79580578000946234</v>
      </c>
      <c r="AG27" s="77">
        <f t="shared" ref="AG27" si="79">AG26/AG$7</f>
        <v>-0.5994086303200048</v>
      </c>
      <c r="AH27" s="77">
        <f t="shared" ref="AH27" si="80">AH26/AH$7</f>
        <v>-0.52721917835289778</v>
      </c>
      <c r="AI27" s="77">
        <f t="shared" ref="AI27" si="81">AI26/AI$7</f>
        <v>-0.38486344576249232</v>
      </c>
      <c r="AJ27" s="77">
        <f t="shared" ref="AJ27" si="82">AJ26/AJ$7</f>
        <v>-0.2786040460277926</v>
      </c>
      <c r="AK27" s="77">
        <f t="shared" ref="AK27" si="83">AK26/AK$7</f>
        <v>-0.42606508172304952</v>
      </c>
      <c r="AL27" s="77">
        <f t="shared" ref="AL27" si="84">AL26/AL$7</f>
        <v>-0.32613921714097943</v>
      </c>
      <c r="AM27" s="77">
        <f t="shared" ref="AM27" si="85">AM26/AM$7</f>
        <v>-0.24066346164473293</v>
      </c>
      <c r="AN27" s="77">
        <f t="shared" ref="AN27" si="86">AN26/AN$7</f>
        <v>-0.20410463442206281</v>
      </c>
      <c r="AO27" s="77">
        <f t="shared" ref="AO27" si="87">AO26/AO$7</f>
        <v>-0.13821175780723352</v>
      </c>
      <c r="AP27" s="77">
        <f t="shared" ref="AP27" si="88">AP26/AP$7</f>
        <v>-8.0054204171157786E-2</v>
      </c>
      <c r="AQ27" s="77">
        <f t="shared" ref="AQ27" si="89">AQ26/AQ$7</f>
        <v>-9.0096678441006828E-2</v>
      </c>
      <c r="AR27" s="77">
        <f t="shared" ref="AR27" si="90">AR26/AR$7</f>
        <v>-4.7266383800419691E-2</v>
      </c>
      <c r="AS27" s="77">
        <f t="shared" ref="AS27" si="91">AS26/AS$7</f>
        <v>-8.2478530078879501E-3</v>
      </c>
      <c r="AT27" s="77">
        <f t="shared" ref="AT27" si="92">AT26/AT$7</f>
        <v>1.9279371109167222E-3</v>
      </c>
      <c r="AU27" s="77">
        <f t="shared" ref="AU27" si="93">AU26/AU$7</f>
        <v>3.2104859187922587E-2</v>
      </c>
      <c r="AV27" s="77">
        <f t="shared" ref="AV27" si="94">AV26/AV$7</f>
        <v>5.4804137380329195E-2</v>
      </c>
      <c r="AW27" s="77">
        <f t="shared" ref="AW27" si="95">AW26/AW$7</f>
        <v>-5.437228882810867E-2</v>
      </c>
      <c r="AX27" s="77">
        <f t="shared" ref="AX27" si="96">AX26/AX$7</f>
        <v>-1.9047745067455706E-2</v>
      </c>
      <c r="AY27" s="77">
        <f t="shared" ref="AY27" si="97">AY26/AY$7</f>
        <v>8.4744339881108154E-3</v>
      </c>
      <c r="AZ27" s="77">
        <f t="shared" ref="AZ27" si="98">AZ26/AZ$7</f>
        <v>2.0771982727906247E-2</v>
      </c>
      <c r="BA27" s="77">
        <f t="shared" ref="BA27" si="99">BA26/BA$7</f>
        <v>4.4756965367236619E-2</v>
      </c>
      <c r="BB27" s="77">
        <f t="shared" ref="BB27" si="100">BB26/BB$7</f>
        <v>7.1669712833333482E-2</v>
      </c>
      <c r="BC27" s="77">
        <f t="shared" ref="BC27" si="101">BC26/BC$7</f>
        <v>6.3678565329161815E-2</v>
      </c>
      <c r="BD27" s="77">
        <f t="shared" ref="BD27" si="102">BD26/BD$7</f>
        <v>7.5970552093338431E-2</v>
      </c>
      <c r="BE27" s="77">
        <f t="shared" ref="BE27" si="103">BE26/BE$7</f>
        <v>8.3460949050996741E-2</v>
      </c>
      <c r="BF27" s="77">
        <f t="shared" ref="BF27" si="104">BF26/BF$7</f>
        <v>7.4296354940181039E-2</v>
      </c>
      <c r="BG27" s="77">
        <f t="shared" ref="BG27" si="105">BG26/BG$7</f>
        <v>8.4882521256264706E-2</v>
      </c>
      <c r="BH27" s="77">
        <f t="shared" ref="BH27" si="106">BH26/BH$7</f>
        <v>9.0979305955992601E-2</v>
      </c>
      <c r="BI27" s="77">
        <f t="shared" ref="BI27" si="107">BI26/BI$7</f>
        <v>-3.0232456246148787E-2</v>
      </c>
      <c r="BJ27" s="77">
        <f t="shared" ref="BJ27" si="108">BJ26/BJ$7</f>
        <v>-2.0161076951323572E-2</v>
      </c>
      <c r="BK27" s="77">
        <f t="shared" ref="BK27" si="109">BK26/BK$7</f>
        <v>-1.0480528316943596E-2</v>
      </c>
      <c r="BL27" s="77">
        <f t="shared" ref="BL27" si="110">BL26/BL$7</f>
        <v>-1.4854392721538026E-2</v>
      </c>
      <c r="BM27" s="77">
        <f t="shared" ref="BM27" si="111">BM26/BM$7</f>
        <v>-4.8391850651879629E-3</v>
      </c>
      <c r="BN27" s="77">
        <f t="shared" ref="BN27" si="112">BN26/BN$7</f>
        <v>8.7903850092617749E-3</v>
      </c>
      <c r="BO27" s="77">
        <f t="shared" ref="BO27" si="113">BO26/BO$7</f>
        <v>4.0899013250423489E-3</v>
      </c>
      <c r="BP27" s="77">
        <f t="shared" ref="BP27" si="114">BP26/BP$7</f>
        <v>1.3088239556146578E-2</v>
      </c>
      <c r="BQ27" s="77">
        <f t="shared" ref="BQ27" si="115">BQ26/BQ$7</f>
        <v>2.1761257273054085E-2</v>
      </c>
      <c r="BR27" s="77">
        <f t="shared" ref="BR27" si="116">BR26/BR$7</f>
        <v>1.7534544308258255E-2</v>
      </c>
      <c r="BS27" s="77">
        <f t="shared" ref="BS27" si="117">BS26/BS$7</f>
        <v>2.5916316685795141E-2</v>
      </c>
      <c r="BT27" s="77">
        <f t="shared" ref="BT27:BV27" si="118">BT26/BT$7</f>
        <v>3.4007789589598526E-2</v>
      </c>
      <c r="BU27" s="11"/>
      <c r="BV27" s="77">
        <f t="shared" si="118"/>
        <v>-2.3129971847178976</v>
      </c>
      <c r="BW27" s="77">
        <f t="shared" ref="BW27" si="119">BW26/BW$7</f>
        <v>-0.62351066386589538</v>
      </c>
      <c r="BX27" s="77">
        <f t="shared" ref="BX27" si="120">BX26/BX$7</f>
        <v>-9.7145289038700136E-2</v>
      </c>
      <c r="BY27" s="77">
        <f t="shared" ref="BY27" si="121">BY26/BY$7</f>
        <v>4.9376145270612785E-2</v>
      </c>
      <c r="BZ27" s="77">
        <f t="shared" ref="BZ27" si="122">BZ26/BZ$7</f>
        <v>4.8956593719319281E-3</v>
      </c>
      <c r="CA27" s="11"/>
    </row>
    <row r="28" spans="1:84" x14ac:dyDescent="0.3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BU28" s="11"/>
      <c r="BV28" s="24"/>
      <c r="BW28" s="24"/>
      <c r="BX28" s="24"/>
      <c r="BY28" s="24"/>
      <c r="BZ28" s="24"/>
      <c r="CA28" s="11"/>
    </row>
    <row r="29" spans="1:84" x14ac:dyDescent="0.3">
      <c r="A29" s="84" t="s">
        <v>178</v>
      </c>
      <c r="B29" s="84" t="s">
        <v>184</v>
      </c>
      <c r="C29" s="84"/>
      <c r="D29" s="84"/>
      <c r="E29" s="85"/>
      <c r="F29" s="85"/>
      <c r="G29" s="84"/>
      <c r="H29" s="84"/>
      <c r="I29" s="84"/>
      <c r="J29" s="84"/>
      <c r="K29" s="84"/>
      <c r="BU29" s="11"/>
      <c r="BV29" s="37">
        <f t="shared" ref="BV29:BZ30" si="123">SUMIF($M$3:$BT$3,BV$3,$M29:$BT29)</f>
        <v>0</v>
      </c>
      <c r="BW29" s="37">
        <f t="shared" si="123"/>
        <v>0</v>
      </c>
      <c r="BX29" s="37">
        <f t="shared" si="123"/>
        <v>0</v>
      </c>
      <c r="BY29" s="37">
        <f t="shared" si="123"/>
        <v>0</v>
      </c>
      <c r="BZ29" s="37">
        <f t="shared" si="123"/>
        <v>0</v>
      </c>
      <c r="CA29" s="11"/>
      <c r="CB29" s="230">
        <f t="shared" ref="CB29" si="124">BV29/BV$7</f>
        <v>0</v>
      </c>
      <c r="CC29" s="230">
        <f t="shared" ref="CC29" si="125">BW29/BW$7</f>
        <v>0</v>
      </c>
      <c r="CD29" s="230">
        <f t="shared" ref="CD29" si="126">BX29/BX$7</f>
        <v>0</v>
      </c>
      <c r="CE29" s="230">
        <f t="shared" ref="CE29" si="127">BY29/BY$7</f>
        <v>0</v>
      </c>
      <c r="CF29" s="230">
        <f t="shared" ref="CF29" si="128">BZ29/BZ$7</f>
        <v>0</v>
      </c>
    </row>
    <row r="30" spans="1:84" x14ac:dyDescent="0.3">
      <c r="A30" s="84" t="s">
        <v>178</v>
      </c>
      <c r="B30" s="84" t="s">
        <v>185</v>
      </c>
      <c r="C30" s="84"/>
      <c r="D30" s="84"/>
      <c r="E30" s="84"/>
      <c r="F30" s="84"/>
      <c r="G30" s="84"/>
      <c r="H30" s="84"/>
      <c r="I30" s="84"/>
      <c r="J30" s="84"/>
      <c r="K30" s="84"/>
      <c r="BU30" s="11"/>
      <c r="BV30" s="37">
        <f t="shared" si="123"/>
        <v>0</v>
      </c>
      <c r="BW30" s="37">
        <f t="shared" si="123"/>
        <v>0</v>
      </c>
      <c r="BX30" s="37">
        <f t="shared" si="123"/>
        <v>0</v>
      </c>
      <c r="BY30" s="37">
        <f t="shared" si="123"/>
        <v>0</v>
      </c>
      <c r="BZ30" s="37">
        <f t="shared" si="123"/>
        <v>0</v>
      </c>
      <c r="CA30" s="11"/>
      <c r="CB30" s="230">
        <f t="shared" ref="CB30" si="129">BV30/BV$7</f>
        <v>0</v>
      </c>
      <c r="CC30" s="230">
        <f t="shared" ref="CC30" si="130">BW30/BW$7</f>
        <v>0</v>
      </c>
      <c r="CD30" s="230">
        <f t="shared" ref="CD30" si="131">BX30/BX$7</f>
        <v>0</v>
      </c>
      <c r="CE30" s="230">
        <f t="shared" ref="CE30" si="132">BY30/BY$7</f>
        <v>0</v>
      </c>
      <c r="CF30" s="230">
        <f t="shared" ref="CF30" si="133">BZ30/BZ$7</f>
        <v>0</v>
      </c>
    </row>
    <row r="31" spans="1:84" x14ac:dyDescent="0.3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BU31" s="11"/>
      <c r="BV31" s="24"/>
      <c r="BW31" s="24"/>
      <c r="BX31" s="24"/>
      <c r="BY31" s="24"/>
      <c r="BZ31" s="24"/>
      <c r="CA31" s="11"/>
    </row>
    <row r="32" spans="1:84" x14ac:dyDescent="0.3">
      <c r="A32" s="149"/>
      <c r="B32" s="157" t="s">
        <v>186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58"/>
      <c r="M32" s="156">
        <f>M26-M29-M30</f>
        <v>-877780</v>
      </c>
      <c r="N32" s="156">
        <f t="shared" ref="N32:BT32" si="134">N26-N29-N30</f>
        <v>-849487.80172854231</v>
      </c>
      <c r="O32" s="156">
        <f t="shared" si="134"/>
        <v>-821195.60345708486</v>
      </c>
      <c r="P32" s="156">
        <f t="shared" si="134"/>
        <v>-959658.18638215598</v>
      </c>
      <c r="Q32" s="156">
        <f t="shared" si="134"/>
        <v>-960623.95677157969</v>
      </c>
      <c r="R32" s="156">
        <f t="shared" si="134"/>
        <v>-912434.94596447458</v>
      </c>
      <c r="S32" s="156">
        <f t="shared" si="134"/>
        <v>-1408084.1847296001</v>
      </c>
      <c r="T32" s="156">
        <f t="shared" si="134"/>
        <v>-1290101.5488512004</v>
      </c>
      <c r="U32" s="156">
        <f t="shared" si="134"/>
        <v>-1221531.6628302103</v>
      </c>
      <c r="V32" s="156">
        <f t="shared" si="134"/>
        <v>-1554793.6514527453</v>
      </c>
      <c r="W32" s="156">
        <f t="shared" si="134"/>
        <v>-1426533.3278248135</v>
      </c>
      <c r="X32" s="156">
        <f t="shared" si="134"/>
        <v>-1248808.6606072956</v>
      </c>
      <c r="Y32" s="156">
        <f t="shared" si="134"/>
        <v>-1866097.8668925832</v>
      </c>
      <c r="Z32" s="156">
        <f t="shared" si="134"/>
        <v>-1672734.3558002985</v>
      </c>
      <c r="AA32" s="156">
        <f t="shared" si="134"/>
        <v>-1533093.1569584818</v>
      </c>
      <c r="AB32" s="156">
        <f t="shared" si="134"/>
        <v>-1586615.145581017</v>
      </c>
      <c r="AC32" s="156">
        <f t="shared" si="134"/>
        <v>-1415180.3216679054</v>
      </c>
      <c r="AD32" s="156">
        <f t="shared" si="134"/>
        <v>-1189971.5917721493</v>
      </c>
      <c r="AE32" s="156">
        <f t="shared" si="134"/>
        <v>-3233921.8567431597</v>
      </c>
      <c r="AF32" s="156">
        <f t="shared" si="134"/>
        <v>-2823518.9074735725</v>
      </c>
      <c r="AG32" s="156">
        <f t="shared" si="134"/>
        <v>-2413219.1456683394</v>
      </c>
      <c r="AH32" s="156">
        <f t="shared" si="134"/>
        <v>-2394629.5080788615</v>
      </c>
      <c r="AI32" s="156">
        <f t="shared" si="134"/>
        <v>-1946639.3086666861</v>
      </c>
      <c r="AJ32" s="156">
        <f t="shared" si="134"/>
        <v>-1552938.9525589161</v>
      </c>
      <c r="AK32" s="156">
        <f t="shared" si="134"/>
        <v>-2593884.2175299255</v>
      </c>
      <c r="AL32" s="156">
        <f t="shared" si="134"/>
        <v>-2153171.1115647461</v>
      </c>
      <c r="AM32" s="156">
        <f t="shared" si="134"/>
        <v>-1712561.1930639194</v>
      </c>
      <c r="AN32" s="156">
        <f t="shared" si="134"/>
        <v>-1555685.5235649627</v>
      </c>
      <c r="AO32" s="156">
        <f t="shared" si="134"/>
        <v>-1123385.1674571941</v>
      </c>
      <c r="AP32" s="156">
        <f t="shared" si="134"/>
        <v>-691187.9988137763</v>
      </c>
      <c r="AQ32" s="156">
        <f t="shared" si="134"/>
        <v>-817717.45353057794</v>
      </c>
      <c r="AR32" s="156">
        <f t="shared" si="134"/>
        <v>-449881.44101239461</v>
      </c>
      <c r="AS32" s="156">
        <f t="shared" si="134"/>
        <v>-82148.615958563983</v>
      </c>
      <c r="AT32" s="156">
        <f t="shared" si="134"/>
        <v>19973.428469097242</v>
      </c>
      <c r="AU32" s="156">
        <f t="shared" si="134"/>
        <v>345448.28486204706</v>
      </c>
      <c r="AV32" s="156">
        <f t="shared" si="134"/>
        <v>611614.17316447385</v>
      </c>
      <c r="AW32" s="156">
        <f t="shared" si="134"/>
        <v>-633002.18653684109</v>
      </c>
      <c r="AX32" s="156">
        <f t="shared" si="134"/>
        <v>-230934.86119783297</v>
      </c>
      <c r="AY32" s="156">
        <f t="shared" si="134"/>
        <v>106828.71485412493</v>
      </c>
      <c r="AZ32" s="156">
        <f t="shared" si="134"/>
        <v>271822.16597738117</v>
      </c>
      <c r="BA32" s="156">
        <f t="shared" si="134"/>
        <v>607172.99217193201</v>
      </c>
      <c r="BB32" s="156">
        <f t="shared" si="134"/>
        <v>1006672.7864570022</v>
      </c>
      <c r="BC32" s="156">
        <f t="shared" si="134"/>
        <v>912131.76977491379</v>
      </c>
      <c r="BD32" s="156">
        <f t="shared" si="134"/>
        <v>1109322.0016669277</v>
      </c>
      <c r="BE32" s="156">
        <f t="shared" si="134"/>
        <v>1241898.9218788315</v>
      </c>
      <c r="BF32" s="156">
        <f t="shared" si="134"/>
        <v>1125143.9992141016</v>
      </c>
      <c r="BG32" s="156">
        <f t="shared" si="134"/>
        <v>1307869.8875165265</v>
      </c>
      <c r="BH32" s="156">
        <f t="shared" si="134"/>
        <v>1425827.6829423159</v>
      </c>
      <c r="BI32" s="156">
        <f t="shared" si="134"/>
        <v>-483235.58063844219</v>
      </c>
      <c r="BJ32" s="156">
        <f t="shared" si="134"/>
        <v>-328544.90999876894</v>
      </c>
      <c r="BK32" s="156">
        <f t="shared" si="134"/>
        <v>-174060.61428779922</v>
      </c>
      <c r="BL32" s="156">
        <f t="shared" si="134"/>
        <v>-251544.28634652495</v>
      </c>
      <c r="BM32" s="156">
        <f t="shared" si="134"/>
        <v>-83524.334225144237</v>
      </c>
      <c r="BN32" s="156">
        <f t="shared" si="134"/>
        <v>154587.71077287756</v>
      </c>
      <c r="BO32" s="156">
        <f t="shared" si="134"/>
        <v>73250.132731508464</v>
      </c>
      <c r="BP32" s="156">
        <f t="shared" si="134"/>
        <v>238650.96006677672</v>
      </c>
      <c r="BQ32" s="156">
        <f t="shared" si="134"/>
        <v>403845.41247333772</v>
      </c>
      <c r="BR32" s="156">
        <f t="shared" si="134"/>
        <v>331122.33471714891</v>
      </c>
      <c r="BS32" s="156">
        <f t="shared" si="134"/>
        <v>497852.44353412464</v>
      </c>
      <c r="BT32" s="156">
        <f t="shared" si="134"/>
        <v>664376.17742239684</v>
      </c>
      <c r="BU32" s="11"/>
      <c r="BV32" s="216">
        <f t="shared" ref="BV32:BZ32" si="135">BV26-BV29-BV30</f>
        <v>-13531033.530599702</v>
      </c>
      <c r="BW32" s="216">
        <f t="shared" si="135"/>
        <v>-23628560.117861971</v>
      </c>
      <c r="BX32" s="216">
        <f t="shared" si="135"/>
        <v>-10202586.836000443</v>
      </c>
      <c r="BY32" s="216">
        <f t="shared" si="135"/>
        <v>8250753.8747193962</v>
      </c>
      <c r="BZ32" s="216">
        <f t="shared" si="135"/>
        <v>1042775.4462215006</v>
      </c>
      <c r="CA32" s="11"/>
      <c r="CB32" s="232">
        <f>BV32/BV$7</f>
        <v>-2.3129971847178976</v>
      </c>
      <c r="CC32" s="232">
        <f t="shared" ref="CC32" si="136">BW32/BW$7</f>
        <v>-0.62351066386589538</v>
      </c>
      <c r="CD32" s="232">
        <f t="shared" ref="CD32" si="137">BX32/BX$7</f>
        <v>-9.7145289038700136E-2</v>
      </c>
      <c r="CE32" s="232">
        <f t="shared" ref="CE32" si="138">BY32/BY$7</f>
        <v>4.9376145270612785E-2</v>
      </c>
      <c r="CF32" s="232">
        <f t="shared" ref="CF32" si="139">BZ32/BZ$7</f>
        <v>4.8956593719319281E-3</v>
      </c>
    </row>
    <row r="33" spans="1:84" x14ac:dyDescent="0.3">
      <c r="A33" s="84"/>
      <c r="B33" s="140" t="s">
        <v>187</v>
      </c>
      <c r="C33" s="84"/>
      <c r="D33" s="84"/>
      <c r="E33" s="84"/>
      <c r="F33" s="84"/>
      <c r="G33" s="84"/>
      <c r="H33" s="84"/>
      <c r="I33" s="84"/>
      <c r="J33" s="84"/>
      <c r="K33" s="84"/>
      <c r="M33" s="77">
        <f>M32/M$7</f>
        <v>-21.944500000000001</v>
      </c>
      <c r="N33" s="77">
        <f t="shared" ref="N33" si="140">N32/N$7</f>
        <v>-10.618597521606778</v>
      </c>
      <c r="O33" s="77">
        <f t="shared" ref="O33" si="141">O32/O$7</f>
        <v>-6.8432966954757068</v>
      </c>
      <c r="P33" s="77">
        <f t="shared" ref="P33" si="142">P32/P$7</f>
        <v>-5.3314343687897559</v>
      </c>
      <c r="Q33" s="77">
        <f t="shared" ref="Q33" si="143">Q32/Q$7</f>
        <v>-4.0025998198815822</v>
      </c>
      <c r="R33" s="77">
        <f t="shared" ref="R33" si="144">R32/R$7</f>
        <v>-3.0414498198815818</v>
      </c>
      <c r="S33" s="77">
        <f t="shared" ref="S33" si="145">S32/S$7</f>
        <v>-3.2746143830920933</v>
      </c>
      <c r="T33" s="77">
        <f t="shared" ref="T33" si="146">T32/T$7</f>
        <v>-2.3037527658057151</v>
      </c>
      <c r="U33" s="77">
        <f t="shared" ref="U33" si="147">U32/U$7</f>
        <v>-1.7703357432321889</v>
      </c>
      <c r="V33" s="77">
        <f t="shared" ref="V33" si="148">V32/V$7</f>
        <v>-1.7668109675599379</v>
      </c>
      <c r="W33" s="77">
        <f t="shared" ref="W33" si="149">W32/W$7</f>
        <v>-1.3332087175932836</v>
      </c>
      <c r="X33" s="77">
        <f t="shared" ref="X33" si="150">X32/X$7</f>
        <v>-0.99111798460896472</v>
      </c>
      <c r="Y33" s="77">
        <f t="shared" ref="Y33" si="151">Y32/Y$7</f>
        <v>-1.272918053814859</v>
      </c>
      <c r="Z33" s="77">
        <f t="shared" ref="Z33" si="152">Z32/Z$7</f>
        <v>-1.0004392080145326</v>
      </c>
      <c r="AA33" s="77">
        <f t="shared" ref="AA33" si="153">AA32/AA$7</f>
        <v>-0.81634353405669957</v>
      </c>
      <c r="AB33" s="77">
        <f t="shared" ref="AB33" si="154">AB32/AB$7</f>
        <v>-0.74981812173015927</v>
      </c>
      <c r="AC33" s="77">
        <f t="shared" ref="AC33" si="155">AC32/AC$7</f>
        <v>-0.60118110521151458</v>
      </c>
      <c r="AD33" s="77">
        <f t="shared" ref="AD33" si="156">AD32/AD$7</f>
        <v>-0.45909397830715637</v>
      </c>
      <c r="AE33" s="77">
        <f t="shared" ref="AE33" si="157">AE32/AE$7</f>
        <v>-1.0533947416101497</v>
      </c>
      <c r="AF33" s="77">
        <f t="shared" ref="AF33" si="158">AF32/AF$7</f>
        <v>-0.79580578000946234</v>
      </c>
      <c r="AG33" s="77">
        <f t="shared" ref="AG33" si="159">AG32/AG$7</f>
        <v>-0.5994086303200048</v>
      </c>
      <c r="AH33" s="77">
        <f t="shared" ref="AH33" si="160">AH32/AH$7</f>
        <v>-0.52721917835289778</v>
      </c>
      <c r="AI33" s="77">
        <f t="shared" ref="AI33" si="161">AI32/AI$7</f>
        <v>-0.38486344576249232</v>
      </c>
      <c r="AJ33" s="77">
        <f t="shared" ref="AJ33" si="162">AJ32/AJ$7</f>
        <v>-0.2786040460277926</v>
      </c>
      <c r="AK33" s="77">
        <f t="shared" ref="AK33" si="163">AK32/AK$7</f>
        <v>-0.42606508172304952</v>
      </c>
      <c r="AL33" s="77">
        <f t="shared" ref="AL33" si="164">AL32/AL$7</f>
        <v>-0.32613921714097943</v>
      </c>
      <c r="AM33" s="77">
        <f t="shared" ref="AM33" si="165">AM32/AM$7</f>
        <v>-0.24066346164473293</v>
      </c>
      <c r="AN33" s="77">
        <f t="shared" ref="AN33" si="166">AN32/AN$7</f>
        <v>-0.20410463442206281</v>
      </c>
      <c r="AO33" s="77">
        <f t="shared" ref="AO33" si="167">AO32/AO$7</f>
        <v>-0.13821175780723352</v>
      </c>
      <c r="AP33" s="77">
        <f t="shared" ref="AP33" si="168">AP32/AP$7</f>
        <v>-8.0054204171157786E-2</v>
      </c>
      <c r="AQ33" s="77">
        <f t="shared" ref="AQ33" si="169">AQ32/AQ$7</f>
        <v>-9.0096678441006828E-2</v>
      </c>
      <c r="AR33" s="77">
        <f t="shared" ref="AR33" si="170">AR32/AR$7</f>
        <v>-4.7266383800419691E-2</v>
      </c>
      <c r="AS33" s="77">
        <f t="shared" ref="AS33" si="171">AS32/AS$7</f>
        <v>-8.2478530078879501E-3</v>
      </c>
      <c r="AT33" s="77">
        <f t="shared" ref="AT33" si="172">AT32/AT$7</f>
        <v>1.9279371109167222E-3</v>
      </c>
      <c r="AU33" s="77">
        <f t="shared" ref="AU33" si="173">AU32/AU$7</f>
        <v>3.2104859187922587E-2</v>
      </c>
      <c r="AV33" s="77">
        <f t="shared" ref="AV33" si="174">AV32/AV$7</f>
        <v>5.4804137380329195E-2</v>
      </c>
      <c r="AW33" s="77">
        <f t="shared" ref="AW33" si="175">AW32/AW$7</f>
        <v>-5.437228882810867E-2</v>
      </c>
      <c r="AX33" s="77">
        <f t="shared" ref="AX33" si="176">AX32/AX$7</f>
        <v>-1.9047745067455706E-2</v>
      </c>
      <c r="AY33" s="77">
        <f t="shared" ref="AY33" si="177">AY32/AY$7</f>
        <v>8.4744339881108154E-3</v>
      </c>
      <c r="AZ33" s="77">
        <f t="shared" ref="AZ33" si="178">AZ32/AZ$7</f>
        <v>2.0771982727906247E-2</v>
      </c>
      <c r="BA33" s="77">
        <f t="shared" ref="BA33" si="179">BA32/BA$7</f>
        <v>4.4756965367236619E-2</v>
      </c>
      <c r="BB33" s="77">
        <f t="shared" ref="BB33" si="180">BB32/BB$7</f>
        <v>7.1669712833333482E-2</v>
      </c>
      <c r="BC33" s="77">
        <f t="shared" ref="BC33" si="181">BC32/BC$7</f>
        <v>6.3678565329161815E-2</v>
      </c>
      <c r="BD33" s="77">
        <f t="shared" ref="BD33" si="182">BD32/BD$7</f>
        <v>7.5970552093338431E-2</v>
      </c>
      <c r="BE33" s="77">
        <f t="shared" ref="BE33" si="183">BE32/BE$7</f>
        <v>8.3460949050996741E-2</v>
      </c>
      <c r="BF33" s="77">
        <f t="shared" ref="BF33" si="184">BF32/BF$7</f>
        <v>7.4296354940181039E-2</v>
      </c>
      <c r="BG33" s="77">
        <f t="shared" ref="BG33" si="185">BG32/BG$7</f>
        <v>8.4882521256264706E-2</v>
      </c>
      <c r="BH33" s="77">
        <f t="shared" ref="BH33" si="186">BH32/BH$7</f>
        <v>9.0979305955992601E-2</v>
      </c>
      <c r="BI33" s="77">
        <f t="shared" ref="BI33" si="187">BI32/BI$7</f>
        <v>-3.0232456246148787E-2</v>
      </c>
      <c r="BJ33" s="77">
        <f t="shared" ref="BJ33" si="188">BJ32/BJ$7</f>
        <v>-2.0161076951323572E-2</v>
      </c>
      <c r="BK33" s="77">
        <f t="shared" ref="BK33" si="189">BK32/BK$7</f>
        <v>-1.0480528316943596E-2</v>
      </c>
      <c r="BL33" s="77">
        <f t="shared" ref="BL33" si="190">BL32/BL$7</f>
        <v>-1.4854392721538026E-2</v>
      </c>
      <c r="BM33" s="77">
        <f t="shared" ref="BM33" si="191">BM32/BM$7</f>
        <v>-4.8391850651879629E-3</v>
      </c>
      <c r="BN33" s="77">
        <f t="shared" ref="BN33" si="192">BN32/BN$7</f>
        <v>8.7903850092617749E-3</v>
      </c>
      <c r="BO33" s="77">
        <f t="shared" ref="BO33" si="193">BO32/BO$7</f>
        <v>4.0899013250423489E-3</v>
      </c>
      <c r="BP33" s="77">
        <f t="shared" ref="BP33" si="194">BP32/BP$7</f>
        <v>1.3088239556146578E-2</v>
      </c>
      <c r="BQ33" s="77">
        <f t="shared" ref="BQ33" si="195">BQ32/BQ$7</f>
        <v>2.1761257273054085E-2</v>
      </c>
      <c r="BR33" s="77">
        <f t="shared" ref="BR33" si="196">BR32/BR$7</f>
        <v>1.7534544308258255E-2</v>
      </c>
      <c r="BS33" s="77">
        <f t="shared" ref="BS33" si="197">BS32/BS$7</f>
        <v>2.5916316685795141E-2</v>
      </c>
      <c r="BT33" s="77">
        <f t="shared" ref="BT33:BV33" si="198">BT32/BT$7</f>
        <v>3.4007789589598526E-2</v>
      </c>
      <c r="BU33" s="11"/>
      <c r="BV33" s="77">
        <f t="shared" si="198"/>
        <v>-2.3129971847178976</v>
      </c>
      <c r="BW33" s="77">
        <f t="shared" ref="BW33" si="199">BW32/BW$7</f>
        <v>-0.62351066386589538</v>
      </c>
      <c r="BX33" s="77">
        <f t="shared" ref="BX33" si="200">BX32/BX$7</f>
        <v>-9.7145289038700136E-2</v>
      </c>
      <c r="BY33" s="77">
        <f t="shared" ref="BY33" si="201">BY32/BY$7</f>
        <v>4.9376145270612785E-2</v>
      </c>
      <c r="BZ33" s="77">
        <f t="shared" ref="BZ33" si="202">BZ32/BZ$7</f>
        <v>4.8956593719319281E-3</v>
      </c>
      <c r="CA33" s="11"/>
    </row>
    <row r="34" spans="1:84" x14ac:dyDescent="0.3">
      <c r="A34" s="84" t="s">
        <v>178</v>
      </c>
      <c r="B34" s="136" t="s">
        <v>188</v>
      </c>
      <c r="C34" s="84"/>
      <c r="D34" s="84"/>
      <c r="E34" s="84"/>
      <c r="F34" s="144">
        <v>0.25</v>
      </c>
      <c r="G34" s="84"/>
      <c r="H34" s="84"/>
      <c r="I34" s="84"/>
      <c r="J34" s="84"/>
      <c r="K34" s="84"/>
      <c r="BU34" s="11"/>
      <c r="BV34" s="37">
        <f t="shared" ref="BV34:BZ34" si="203">SUMIF($M$3:$BT$3,BV$3,$M34:$BT34)</f>
        <v>0</v>
      </c>
      <c r="BW34" s="37">
        <f t="shared" si="203"/>
        <v>0</v>
      </c>
      <c r="BX34" s="37">
        <f t="shared" si="203"/>
        <v>0</v>
      </c>
      <c r="BY34" s="37">
        <f t="shared" si="203"/>
        <v>0</v>
      </c>
      <c r="BZ34" s="37">
        <f t="shared" si="203"/>
        <v>0</v>
      </c>
      <c r="CA34" s="11"/>
      <c r="CB34" s="230">
        <f t="shared" ref="CB34" si="204">BV34/BV$7</f>
        <v>0</v>
      </c>
      <c r="CC34" s="230">
        <f t="shared" ref="CC34" si="205">BW34/BW$7</f>
        <v>0</v>
      </c>
      <c r="CD34" s="230">
        <f t="shared" ref="CD34" si="206">BX34/BX$7</f>
        <v>0</v>
      </c>
      <c r="CE34" s="230">
        <f t="shared" ref="CE34" si="207">BY34/BY$7</f>
        <v>0</v>
      </c>
      <c r="CF34" s="230">
        <f t="shared" ref="CF34" si="208">BZ34/BZ$7</f>
        <v>0</v>
      </c>
    </row>
    <row r="35" spans="1:84" x14ac:dyDescent="0.3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BU35" s="11"/>
      <c r="BV35" s="24"/>
      <c r="BW35" s="24"/>
      <c r="BX35" s="24"/>
      <c r="BY35" s="24"/>
      <c r="BZ35" s="24"/>
      <c r="CA35" s="11"/>
    </row>
    <row r="36" spans="1:84" x14ac:dyDescent="0.3">
      <c r="A36" s="153"/>
      <c r="B36" s="154" t="s">
        <v>189</v>
      </c>
      <c r="C36" s="153"/>
      <c r="D36" s="153"/>
      <c r="E36" s="153"/>
      <c r="F36" s="153"/>
      <c r="G36" s="153"/>
      <c r="H36" s="153"/>
      <c r="I36" s="153"/>
      <c r="J36" s="153"/>
      <c r="K36" s="153"/>
      <c r="L36" s="155"/>
      <c r="M36" s="156">
        <f>M32-M34</f>
        <v>-877780</v>
      </c>
      <c r="N36" s="156">
        <f t="shared" ref="N36:BT36" si="209">N32-N34</f>
        <v>-849487.80172854231</v>
      </c>
      <c r="O36" s="156">
        <f t="shared" si="209"/>
        <v>-821195.60345708486</v>
      </c>
      <c r="P36" s="156">
        <f t="shared" si="209"/>
        <v>-959658.18638215598</v>
      </c>
      <c r="Q36" s="156">
        <f t="shared" si="209"/>
        <v>-960623.95677157969</v>
      </c>
      <c r="R36" s="156">
        <f t="shared" si="209"/>
        <v>-912434.94596447458</v>
      </c>
      <c r="S36" s="156">
        <f t="shared" si="209"/>
        <v>-1408084.1847296001</v>
      </c>
      <c r="T36" s="156">
        <f t="shared" si="209"/>
        <v>-1290101.5488512004</v>
      </c>
      <c r="U36" s="156">
        <f t="shared" si="209"/>
        <v>-1221531.6628302103</v>
      </c>
      <c r="V36" s="156">
        <f t="shared" si="209"/>
        <v>-1554793.6514527453</v>
      </c>
      <c r="W36" s="156">
        <f t="shared" si="209"/>
        <v>-1426533.3278248135</v>
      </c>
      <c r="X36" s="156">
        <f t="shared" si="209"/>
        <v>-1248808.6606072956</v>
      </c>
      <c r="Y36" s="156">
        <f t="shared" si="209"/>
        <v>-1866097.8668925832</v>
      </c>
      <c r="Z36" s="156">
        <f t="shared" si="209"/>
        <v>-1672734.3558002985</v>
      </c>
      <c r="AA36" s="156">
        <f t="shared" si="209"/>
        <v>-1533093.1569584818</v>
      </c>
      <c r="AB36" s="156">
        <f t="shared" si="209"/>
        <v>-1586615.145581017</v>
      </c>
      <c r="AC36" s="156">
        <f t="shared" si="209"/>
        <v>-1415180.3216679054</v>
      </c>
      <c r="AD36" s="156">
        <f t="shared" si="209"/>
        <v>-1189971.5917721493</v>
      </c>
      <c r="AE36" s="156">
        <f t="shared" si="209"/>
        <v>-3233921.8567431597</v>
      </c>
      <c r="AF36" s="156">
        <f t="shared" si="209"/>
        <v>-2823518.9074735725</v>
      </c>
      <c r="AG36" s="156">
        <f t="shared" si="209"/>
        <v>-2413219.1456683394</v>
      </c>
      <c r="AH36" s="156">
        <f t="shared" si="209"/>
        <v>-2394629.5080788615</v>
      </c>
      <c r="AI36" s="156">
        <f t="shared" si="209"/>
        <v>-1946639.3086666861</v>
      </c>
      <c r="AJ36" s="156">
        <f t="shared" si="209"/>
        <v>-1552938.9525589161</v>
      </c>
      <c r="AK36" s="156">
        <f t="shared" si="209"/>
        <v>-2593884.2175299255</v>
      </c>
      <c r="AL36" s="156">
        <f t="shared" si="209"/>
        <v>-2153171.1115647461</v>
      </c>
      <c r="AM36" s="156">
        <f t="shared" si="209"/>
        <v>-1712561.1930639194</v>
      </c>
      <c r="AN36" s="156">
        <f t="shared" si="209"/>
        <v>-1555685.5235649627</v>
      </c>
      <c r="AO36" s="156">
        <f t="shared" si="209"/>
        <v>-1123385.1674571941</v>
      </c>
      <c r="AP36" s="156">
        <f t="shared" si="209"/>
        <v>-691187.9988137763</v>
      </c>
      <c r="AQ36" s="156">
        <f t="shared" si="209"/>
        <v>-817717.45353057794</v>
      </c>
      <c r="AR36" s="156">
        <f t="shared" si="209"/>
        <v>-449881.44101239461</v>
      </c>
      <c r="AS36" s="156">
        <f t="shared" si="209"/>
        <v>-82148.615958563983</v>
      </c>
      <c r="AT36" s="156">
        <f t="shared" si="209"/>
        <v>19973.428469097242</v>
      </c>
      <c r="AU36" s="156">
        <f t="shared" si="209"/>
        <v>345448.28486204706</v>
      </c>
      <c r="AV36" s="156">
        <f t="shared" si="209"/>
        <v>611614.17316447385</v>
      </c>
      <c r="AW36" s="156">
        <f t="shared" si="209"/>
        <v>-633002.18653684109</v>
      </c>
      <c r="AX36" s="156">
        <f t="shared" si="209"/>
        <v>-230934.86119783297</v>
      </c>
      <c r="AY36" s="156">
        <f t="shared" si="209"/>
        <v>106828.71485412493</v>
      </c>
      <c r="AZ36" s="156">
        <f t="shared" si="209"/>
        <v>271822.16597738117</v>
      </c>
      <c r="BA36" s="156">
        <f t="shared" si="209"/>
        <v>607172.99217193201</v>
      </c>
      <c r="BB36" s="156">
        <f t="shared" si="209"/>
        <v>1006672.7864570022</v>
      </c>
      <c r="BC36" s="156">
        <f t="shared" si="209"/>
        <v>912131.76977491379</v>
      </c>
      <c r="BD36" s="156">
        <f t="shared" si="209"/>
        <v>1109322.0016669277</v>
      </c>
      <c r="BE36" s="156">
        <f t="shared" si="209"/>
        <v>1241898.9218788315</v>
      </c>
      <c r="BF36" s="156">
        <f t="shared" si="209"/>
        <v>1125143.9992141016</v>
      </c>
      <c r="BG36" s="156">
        <f t="shared" si="209"/>
        <v>1307869.8875165265</v>
      </c>
      <c r="BH36" s="156">
        <f t="shared" si="209"/>
        <v>1425827.6829423159</v>
      </c>
      <c r="BI36" s="156">
        <f t="shared" si="209"/>
        <v>-483235.58063844219</v>
      </c>
      <c r="BJ36" s="156">
        <f t="shared" si="209"/>
        <v>-328544.90999876894</v>
      </c>
      <c r="BK36" s="156">
        <f t="shared" si="209"/>
        <v>-174060.61428779922</v>
      </c>
      <c r="BL36" s="156">
        <f t="shared" si="209"/>
        <v>-251544.28634652495</v>
      </c>
      <c r="BM36" s="156">
        <f t="shared" si="209"/>
        <v>-83524.334225144237</v>
      </c>
      <c r="BN36" s="156">
        <f t="shared" si="209"/>
        <v>154587.71077287756</v>
      </c>
      <c r="BO36" s="156">
        <f t="shared" si="209"/>
        <v>73250.132731508464</v>
      </c>
      <c r="BP36" s="156">
        <f t="shared" si="209"/>
        <v>238650.96006677672</v>
      </c>
      <c r="BQ36" s="156">
        <f t="shared" si="209"/>
        <v>403845.41247333772</v>
      </c>
      <c r="BR36" s="156">
        <f t="shared" si="209"/>
        <v>331122.33471714891</v>
      </c>
      <c r="BS36" s="156">
        <f t="shared" si="209"/>
        <v>497852.44353412464</v>
      </c>
      <c r="BT36" s="156">
        <f t="shared" si="209"/>
        <v>664376.17742239684</v>
      </c>
      <c r="BU36" s="11"/>
      <c r="BV36" s="216">
        <f t="shared" ref="BV36:BZ36" si="210">BV32-BV34</f>
        <v>-13531033.530599702</v>
      </c>
      <c r="BW36" s="216">
        <f t="shared" si="210"/>
        <v>-23628560.117861971</v>
      </c>
      <c r="BX36" s="216">
        <f t="shared" si="210"/>
        <v>-10202586.836000443</v>
      </c>
      <c r="BY36" s="216">
        <f t="shared" si="210"/>
        <v>8250753.8747193962</v>
      </c>
      <c r="BZ36" s="216">
        <f t="shared" si="210"/>
        <v>1042775.4462215006</v>
      </c>
      <c r="CA36" s="11"/>
      <c r="CB36" s="232">
        <f>BV36/BV$7</f>
        <v>-2.3129971847178976</v>
      </c>
      <c r="CC36" s="232">
        <f t="shared" ref="CC36" si="211">BW36/BW$7</f>
        <v>-0.62351066386589538</v>
      </c>
      <c r="CD36" s="232">
        <f t="shared" ref="CD36" si="212">BX36/BX$7</f>
        <v>-9.7145289038700136E-2</v>
      </c>
      <c r="CE36" s="232">
        <f t="shared" ref="CE36" si="213">BY36/BY$7</f>
        <v>4.9376145270612785E-2</v>
      </c>
      <c r="CF36" s="232">
        <f t="shared" ref="CF36" si="214">BZ36/BZ$7</f>
        <v>4.8956593719319281E-3</v>
      </c>
    </row>
    <row r="37" spans="1:84" x14ac:dyDescent="0.3">
      <c r="A37" s="84"/>
      <c r="B37" s="145" t="s">
        <v>190</v>
      </c>
      <c r="C37" s="146"/>
      <c r="D37" s="147"/>
      <c r="E37" s="147"/>
      <c r="F37" s="147"/>
      <c r="G37" s="84"/>
      <c r="H37" s="84"/>
      <c r="I37" s="84"/>
      <c r="J37" s="84"/>
      <c r="K37" s="84"/>
      <c r="M37" s="77">
        <f>M36/M$7</f>
        <v>-21.944500000000001</v>
      </c>
      <c r="N37" s="77">
        <f t="shared" ref="N37" si="215">N36/N$7</f>
        <v>-10.618597521606778</v>
      </c>
      <c r="O37" s="77">
        <f t="shared" ref="O37" si="216">O36/O$7</f>
        <v>-6.8432966954757068</v>
      </c>
      <c r="P37" s="77">
        <f t="shared" ref="P37" si="217">P36/P$7</f>
        <v>-5.3314343687897559</v>
      </c>
      <c r="Q37" s="77">
        <f t="shared" ref="Q37" si="218">Q36/Q$7</f>
        <v>-4.0025998198815822</v>
      </c>
      <c r="R37" s="77">
        <f t="shared" ref="R37" si="219">R36/R$7</f>
        <v>-3.0414498198815818</v>
      </c>
      <c r="S37" s="77">
        <f t="shared" ref="S37" si="220">S36/S$7</f>
        <v>-3.2746143830920933</v>
      </c>
      <c r="T37" s="77">
        <f t="shared" ref="T37" si="221">T36/T$7</f>
        <v>-2.3037527658057151</v>
      </c>
      <c r="U37" s="77">
        <f t="shared" ref="U37" si="222">U36/U$7</f>
        <v>-1.7703357432321889</v>
      </c>
      <c r="V37" s="77">
        <f t="shared" ref="V37" si="223">V36/V$7</f>
        <v>-1.7668109675599379</v>
      </c>
      <c r="W37" s="77">
        <f t="shared" ref="W37" si="224">W36/W$7</f>
        <v>-1.3332087175932836</v>
      </c>
      <c r="X37" s="77">
        <f t="shared" ref="X37" si="225">X36/X$7</f>
        <v>-0.99111798460896472</v>
      </c>
      <c r="Y37" s="77">
        <f t="shared" ref="Y37" si="226">Y36/Y$7</f>
        <v>-1.272918053814859</v>
      </c>
      <c r="Z37" s="77">
        <f t="shared" ref="Z37" si="227">Z36/Z$7</f>
        <v>-1.0004392080145326</v>
      </c>
      <c r="AA37" s="77">
        <f t="shared" ref="AA37" si="228">AA36/AA$7</f>
        <v>-0.81634353405669957</v>
      </c>
      <c r="AB37" s="77">
        <f t="shared" ref="AB37" si="229">AB36/AB$7</f>
        <v>-0.74981812173015927</v>
      </c>
      <c r="AC37" s="77">
        <f t="shared" ref="AC37" si="230">AC36/AC$7</f>
        <v>-0.60118110521151458</v>
      </c>
      <c r="AD37" s="77">
        <f t="shared" ref="AD37" si="231">AD36/AD$7</f>
        <v>-0.45909397830715637</v>
      </c>
      <c r="AE37" s="77">
        <f t="shared" ref="AE37" si="232">AE36/AE$7</f>
        <v>-1.0533947416101497</v>
      </c>
      <c r="AF37" s="77">
        <f t="shared" ref="AF37" si="233">AF36/AF$7</f>
        <v>-0.79580578000946234</v>
      </c>
      <c r="AG37" s="77">
        <f t="shared" ref="AG37" si="234">AG36/AG$7</f>
        <v>-0.5994086303200048</v>
      </c>
      <c r="AH37" s="77">
        <f t="shared" ref="AH37" si="235">AH36/AH$7</f>
        <v>-0.52721917835289778</v>
      </c>
      <c r="AI37" s="77">
        <f t="shared" ref="AI37" si="236">AI36/AI$7</f>
        <v>-0.38486344576249232</v>
      </c>
      <c r="AJ37" s="77">
        <f t="shared" ref="AJ37" si="237">AJ36/AJ$7</f>
        <v>-0.2786040460277926</v>
      </c>
      <c r="AK37" s="77">
        <f t="shared" ref="AK37" si="238">AK36/AK$7</f>
        <v>-0.42606508172304952</v>
      </c>
      <c r="AL37" s="77">
        <f t="shared" ref="AL37" si="239">AL36/AL$7</f>
        <v>-0.32613921714097943</v>
      </c>
      <c r="AM37" s="77">
        <f t="shared" ref="AM37" si="240">AM36/AM$7</f>
        <v>-0.24066346164473293</v>
      </c>
      <c r="AN37" s="77">
        <f t="shared" ref="AN37" si="241">AN36/AN$7</f>
        <v>-0.20410463442206281</v>
      </c>
      <c r="AO37" s="77">
        <f t="shared" ref="AO37" si="242">AO36/AO$7</f>
        <v>-0.13821175780723352</v>
      </c>
      <c r="AP37" s="77">
        <f t="shared" ref="AP37" si="243">AP36/AP$7</f>
        <v>-8.0054204171157786E-2</v>
      </c>
      <c r="AQ37" s="77">
        <f t="shared" ref="AQ37" si="244">AQ36/AQ$7</f>
        <v>-9.0096678441006828E-2</v>
      </c>
      <c r="AR37" s="77">
        <f t="shared" ref="AR37" si="245">AR36/AR$7</f>
        <v>-4.7266383800419691E-2</v>
      </c>
      <c r="AS37" s="77">
        <f t="shared" ref="AS37" si="246">AS36/AS$7</f>
        <v>-8.2478530078879501E-3</v>
      </c>
      <c r="AT37" s="77">
        <f t="shared" ref="AT37" si="247">AT36/AT$7</f>
        <v>1.9279371109167222E-3</v>
      </c>
      <c r="AU37" s="77">
        <f t="shared" ref="AU37" si="248">AU36/AU$7</f>
        <v>3.2104859187922587E-2</v>
      </c>
      <c r="AV37" s="77">
        <f t="shared" ref="AV37" si="249">AV36/AV$7</f>
        <v>5.4804137380329195E-2</v>
      </c>
      <c r="AW37" s="77">
        <f t="shared" ref="AW37" si="250">AW36/AW$7</f>
        <v>-5.437228882810867E-2</v>
      </c>
      <c r="AX37" s="77">
        <f t="shared" ref="AX37" si="251">AX36/AX$7</f>
        <v>-1.9047745067455706E-2</v>
      </c>
      <c r="AY37" s="77">
        <f t="shared" ref="AY37" si="252">AY36/AY$7</f>
        <v>8.4744339881108154E-3</v>
      </c>
      <c r="AZ37" s="77">
        <f t="shared" ref="AZ37" si="253">AZ36/AZ$7</f>
        <v>2.0771982727906247E-2</v>
      </c>
      <c r="BA37" s="77">
        <f t="shared" ref="BA37" si="254">BA36/BA$7</f>
        <v>4.4756965367236619E-2</v>
      </c>
      <c r="BB37" s="77">
        <f t="shared" ref="BB37" si="255">BB36/BB$7</f>
        <v>7.1669712833333482E-2</v>
      </c>
      <c r="BC37" s="77">
        <f t="shared" ref="BC37" si="256">BC36/BC$7</f>
        <v>6.3678565329161815E-2</v>
      </c>
      <c r="BD37" s="77">
        <f t="shared" ref="BD37" si="257">BD36/BD$7</f>
        <v>7.5970552093338431E-2</v>
      </c>
      <c r="BE37" s="77">
        <f t="shared" ref="BE37" si="258">BE36/BE$7</f>
        <v>8.3460949050996741E-2</v>
      </c>
      <c r="BF37" s="77">
        <f t="shared" ref="BF37" si="259">BF36/BF$7</f>
        <v>7.4296354940181039E-2</v>
      </c>
      <c r="BG37" s="77">
        <f t="shared" ref="BG37" si="260">BG36/BG$7</f>
        <v>8.4882521256264706E-2</v>
      </c>
      <c r="BH37" s="77">
        <f t="shared" ref="BH37" si="261">BH36/BH$7</f>
        <v>9.0979305955992601E-2</v>
      </c>
      <c r="BI37" s="77">
        <f t="shared" ref="BI37" si="262">BI36/BI$7</f>
        <v>-3.0232456246148787E-2</v>
      </c>
      <c r="BJ37" s="77">
        <f t="shared" ref="BJ37" si="263">BJ36/BJ$7</f>
        <v>-2.0161076951323572E-2</v>
      </c>
      <c r="BK37" s="77">
        <f t="shared" ref="BK37" si="264">BK36/BK$7</f>
        <v>-1.0480528316943596E-2</v>
      </c>
      <c r="BL37" s="77">
        <f t="shared" ref="BL37" si="265">BL36/BL$7</f>
        <v>-1.4854392721538026E-2</v>
      </c>
      <c r="BM37" s="77">
        <f t="shared" ref="BM37" si="266">BM36/BM$7</f>
        <v>-4.8391850651879629E-3</v>
      </c>
      <c r="BN37" s="77">
        <f t="shared" ref="BN37" si="267">BN36/BN$7</f>
        <v>8.7903850092617749E-3</v>
      </c>
      <c r="BO37" s="77">
        <f t="shared" ref="BO37" si="268">BO36/BO$7</f>
        <v>4.0899013250423489E-3</v>
      </c>
      <c r="BP37" s="77">
        <f t="shared" ref="BP37" si="269">BP36/BP$7</f>
        <v>1.3088239556146578E-2</v>
      </c>
      <c r="BQ37" s="77">
        <f t="shared" ref="BQ37" si="270">BQ36/BQ$7</f>
        <v>2.1761257273054085E-2</v>
      </c>
      <c r="BR37" s="77">
        <f t="shared" ref="BR37" si="271">BR36/BR$7</f>
        <v>1.7534544308258255E-2</v>
      </c>
      <c r="BS37" s="77">
        <f t="shared" ref="BS37" si="272">BS36/BS$7</f>
        <v>2.5916316685795141E-2</v>
      </c>
      <c r="BT37" s="77">
        <f t="shared" ref="BT37:BV37" si="273">BT36/BT$7</f>
        <v>3.4007789589598526E-2</v>
      </c>
      <c r="BU37" s="11"/>
      <c r="BV37" s="77">
        <f t="shared" si="273"/>
        <v>-2.3129971847178976</v>
      </c>
      <c r="BW37" s="77">
        <f t="shared" ref="BW37" si="274">BW36/BW$7</f>
        <v>-0.62351066386589538</v>
      </c>
      <c r="BX37" s="77">
        <f t="shared" ref="BX37" si="275">BX36/BX$7</f>
        <v>-9.7145289038700136E-2</v>
      </c>
      <c r="BY37" s="77">
        <f t="shared" ref="BY37" si="276">BY36/BY$7</f>
        <v>4.9376145270612785E-2</v>
      </c>
      <c r="BZ37" s="77">
        <f t="shared" ref="BZ37" si="277">BZ36/BZ$7</f>
        <v>4.8956593719319281E-3</v>
      </c>
      <c r="CA37" s="11"/>
    </row>
    <row r="38" spans="1:84" x14ac:dyDescent="0.3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</row>
    <row r="39" spans="1:84" x14ac:dyDescent="0.3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</row>
    <row r="40" spans="1:84" x14ac:dyDescent="0.3">
      <c r="A40" s="84" t="s">
        <v>191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</row>
    <row r="41" spans="1:84" x14ac:dyDescent="0.3">
      <c r="A41" s="84" t="s">
        <v>192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</row>
    <row r="42" spans="1:84" x14ac:dyDescent="0.3">
      <c r="A42" s="84" t="s">
        <v>193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</row>
  </sheetData>
  <mergeCells count="3">
    <mergeCell ref="M2:BT2"/>
    <mergeCell ref="BV2:BZ2"/>
    <mergeCell ref="CB2:C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C0ED-67A3-894C-A0E3-15A605C9D6D5}">
  <dimension ref="A1:BZ38"/>
  <sheetViews>
    <sheetView showGridLines="0" workbookViewId="0">
      <pane xSplit="12" ySplit="4" topLeftCell="N6" activePane="bottomRight" state="frozen"/>
      <selection pane="topRight" activeCell="M1" sqref="M1"/>
      <selection pane="bottomLeft" activeCell="A5" sqref="A5"/>
      <selection pane="bottomRight" activeCell="Q9" sqref="Q9"/>
    </sheetView>
  </sheetViews>
  <sheetFormatPr defaultColWidth="11.19921875" defaultRowHeight="15.6" x14ac:dyDescent="0.3"/>
  <cols>
    <col min="2" max="12" width="2" customWidth="1"/>
    <col min="13" max="13" width="13" bestFit="1" customWidth="1"/>
    <col min="14" max="22" width="13.796875" bestFit="1" customWidth="1"/>
    <col min="23" max="52" width="15.296875" bestFit="1" customWidth="1"/>
    <col min="53" max="72" width="16.5" bestFit="1" customWidth="1"/>
    <col min="74" max="76" width="15.19921875" bestFit="1" customWidth="1"/>
    <col min="77" max="78" width="16.296875" bestFit="1" customWidth="1"/>
  </cols>
  <sheetData>
    <row r="1" spans="1:78" ht="21" x14ac:dyDescent="0.4">
      <c r="A1" s="1" t="s">
        <v>83</v>
      </c>
      <c r="B1" s="1"/>
      <c r="C1" s="2"/>
      <c r="D1" s="3"/>
      <c r="E1" s="3"/>
      <c r="F1" s="3"/>
      <c r="G1" s="3"/>
      <c r="H1" s="3"/>
      <c r="I1" s="3"/>
      <c r="J1" s="4"/>
      <c r="K1" s="3"/>
      <c r="L1" s="3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16.2" thickBot="1" x14ac:dyDescent="0.35">
      <c r="A2" s="7" t="s">
        <v>0</v>
      </c>
      <c r="B2" s="7"/>
      <c r="C2" s="2"/>
      <c r="D2" s="3"/>
      <c r="E2" s="3"/>
      <c r="F2" s="3"/>
      <c r="G2" s="3"/>
      <c r="H2" s="3"/>
      <c r="I2" s="3"/>
      <c r="J2" s="4"/>
      <c r="K2" s="3"/>
      <c r="L2" s="3"/>
      <c r="M2" s="270" t="s">
        <v>1</v>
      </c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3"/>
      <c r="BV2" s="270" t="s">
        <v>2</v>
      </c>
      <c r="BW2" s="270"/>
      <c r="BX2" s="270"/>
      <c r="BY2" s="270"/>
      <c r="BZ2" s="270"/>
    </row>
    <row r="3" spans="1:78" x14ac:dyDescent="0.3">
      <c r="A3" s="8" t="s">
        <v>3</v>
      </c>
      <c r="B3" s="9"/>
      <c r="C3" s="9"/>
      <c r="D3" s="10"/>
      <c r="E3" s="10"/>
      <c r="F3" s="10"/>
      <c r="G3" s="10"/>
      <c r="H3" s="10"/>
      <c r="I3" s="10"/>
      <c r="J3" s="3"/>
      <c r="K3" s="3"/>
      <c r="L3" s="3"/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f>X3+1</f>
        <v>2</v>
      </c>
      <c r="Z3" s="19">
        <f>Y3</f>
        <v>2</v>
      </c>
      <c r="AA3" s="19">
        <f t="shared" ref="AA3:AJ3" si="0">Z3</f>
        <v>2</v>
      </c>
      <c r="AB3" s="19">
        <f t="shared" si="0"/>
        <v>2</v>
      </c>
      <c r="AC3" s="19">
        <f t="shared" si="0"/>
        <v>2</v>
      </c>
      <c r="AD3" s="19">
        <f t="shared" si="0"/>
        <v>2</v>
      </c>
      <c r="AE3" s="19">
        <f t="shared" si="0"/>
        <v>2</v>
      </c>
      <c r="AF3" s="19">
        <f t="shared" si="0"/>
        <v>2</v>
      </c>
      <c r="AG3" s="19">
        <f t="shared" si="0"/>
        <v>2</v>
      </c>
      <c r="AH3" s="19">
        <f t="shared" si="0"/>
        <v>2</v>
      </c>
      <c r="AI3" s="19">
        <f t="shared" si="0"/>
        <v>2</v>
      </c>
      <c r="AJ3" s="19">
        <f t="shared" si="0"/>
        <v>2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4</v>
      </c>
      <c r="AX3" s="19">
        <v>4</v>
      </c>
      <c r="AY3" s="19">
        <v>4</v>
      </c>
      <c r="AZ3" s="19">
        <v>4</v>
      </c>
      <c r="BA3" s="19">
        <v>4</v>
      </c>
      <c r="BB3" s="19">
        <v>4</v>
      </c>
      <c r="BC3" s="19">
        <v>4</v>
      </c>
      <c r="BD3" s="19">
        <v>4</v>
      </c>
      <c r="BE3" s="19">
        <v>4</v>
      </c>
      <c r="BF3" s="19">
        <v>4</v>
      </c>
      <c r="BG3" s="19">
        <v>4</v>
      </c>
      <c r="BH3" s="19">
        <v>4</v>
      </c>
      <c r="BI3" s="19">
        <v>5</v>
      </c>
      <c r="BJ3" s="19">
        <v>5</v>
      </c>
      <c r="BK3" s="19">
        <v>5</v>
      </c>
      <c r="BL3" s="19">
        <v>5</v>
      </c>
      <c r="BM3" s="19">
        <v>5</v>
      </c>
      <c r="BN3" s="19">
        <v>5</v>
      </c>
      <c r="BO3" s="19">
        <v>5</v>
      </c>
      <c r="BP3" s="19">
        <v>5</v>
      </c>
      <c r="BQ3" s="19">
        <v>5</v>
      </c>
      <c r="BR3" s="19">
        <v>5</v>
      </c>
      <c r="BS3" s="19">
        <v>5</v>
      </c>
      <c r="BT3" s="19">
        <v>5</v>
      </c>
      <c r="BU3" s="11"/>
      <c r="BV3" s="21">
        <v>1</v>
      </c>
      <c r="BW3" s="21">
        <v>2</v>
      </c>
      <c r="BX3" s="21">
        <v>3</v>
      </c>
      <c r="BY3" s="21">
        <v>4</v>
      </c>
      <c r="BZ3" s="21">
        <v>5</v>
      </c>
    </row>
    <row r="4" spans="1:78" x14ac:dyDescent="0.3">
      <c r="A4" s="12" t="s">
        <v>4</v>
      </c>
      <c r="B4" s="13"/>
      <c r="C4" s="9"/>
      <c r="D4" s="10"/>
      <c r="E4" s="3"/>
      <c r="F4" s="3"/>
      <c r="G4" s="3"/>
      <c r="H4" s="3"/>
      <c r="I4" s="3"/>
      <c r="J4" s="3"/>
      <c r="K4" s="3"/>
      <c r="L4" s="3"/>
      <c r="M4" s="20">
        <v>1</v>
      </c>
      <c r="N4" s="20">
        <f>M4+1</f>
        <v>2</v>
      </c>
      <c r="O4" s="20">
        <f t="shared" ref="O4:BT4" si="1">N4+1</f>
        <v>3</v>
      </c>
      <c r="P4" s="20">
        <f t="shared" si="1"/>
        <v>4</v>
      </c>
      <c r="Q4" s="20">
        <f t="shared" si="1"/>
        <v>5</v>
      </c>
      <c r="R4" s="20">
        <f t="shared" si="1"/>
        <v>6</v>
      </c>
      <c r="S4" s="20">
        <f t="shared" si="1"/>
        <v>7</v>
      </c>
      <c r="T4" s="20">
        <f t="shared" si="1"/>
        <v>8</v>
      </c>
      <c r="U4" s="20">
        <f t="shared" si="1"/>
        <v>9</v>
      </c>
      <c r="V4" s="20">
        <f t="shared" si="1"/>
        <v>10</v>
      </c>
      <c r="W4" s="20">
        <f t="shared" si="1"/>
        <v>11</v>
      </c>
      <c r="X4" s="20">
        <f t="shared" si="1"/>
        <v>12</v>
      </c>
      <c r="Y4" s="20">
        <f t="shared" si="1"/>
        <v>13</v>
      </c>
      <c r="Z4" s="20">
        <f t="shared" si="1"/>
        <v>14</v>
      </c>
      <c r="AA4" s="20">
        <f t="shared" si="1"/>
        <v>15</v>
      </c>
      <c r="AB4" s="20">
        <f t="shared" si="1"/>
        <v>16</v>
      </c>
      <c r="AC4" s="20">
        <f t="shared" si="1"/>
        <v>17</v>
      </c>
      <c r="AD4" s="20">
        <f t="shared" si="1"/>
        <v>18</v>
      </c>
      <c r="AE4" s="20">
        <f t="shared" si="1"/>
        <v>19</v>
      </c>
      <c r="AF4" s="20">
        <f t="shared" si="1"/>
        <v>20</v>
      </c>
      <c r="AG4" s="20">
        <f t="shared" si="1"/>
        <v>21</v>
      </c>
      <c r="AH4" s="20">
        <f t="shared" si="1"/>
        <v>22</v>
      </c>
      <c r="AI4" s="20">
        <f t="shared" si="1"/>
        <v>23</v>
      </c>
      <c r="AJ4" s="20">
        <f t="shared" si="1"/>
        <v>24</v>
      </c>
      <c r="AK4" s="20">
        <f t="shared" si="1"/>
        <v>25</v>
      </c>
      <c r="AL4" s="20">
        <f t="shared" si="1"/>
        <v>26</v>
      </c>
      <c r="AM4" s="20">
        <f t="shared" si="1"/>
        <v>27</v>
      </c>
      <c r="AN4" s="20">
        <f t="shared" si="1"/>
        <v>28</v>
      </c>
      <c r="AO4" s="20">
        <f t="shared" si="1"/>
        <v>29</v>
      </c>
      <c r="AP4" s="20">
        <f t="shared" si="1"/>
        <v>30</v>
      </c>
      <c r="AQ4" s="20">
        <f t="shared" si="1"/>
        <v>31</v>
      </c>
      <c r="AR4" s="20">
        <f t="shared" si="1"/>
        <v>32</v>
      </c>
      <c r="AS4" s="20">
        <f t="shared" si="1"/>
        <v>33</v>
      </c>
      <c r="AT4" s="20">
        <f t="shared" si="1"/>
        <v>34</v>
      </c>
      <c r="AU4" s="20">
        <f t="shared" si="1"/>
        <v>35</v>
      </c>
      <c r="AV4" s="20">
        <f t="shared" si="1"/>
        <v>36</v>
      </c>
      <c r="AW4" s="20">
        <f t="shared" si="1"/>
        <v>37</v>
      </c>
      <c r="AX4" s="20">
        <f t="shared" si="1"/>
        <v>38</v>
      </c>
      <c r="AY4" s="20">
        <f t="shared" si="1"/>
        <v>39</v>
      </c>
      <c r="AZ4" s="20">
        <f t="shared" si="1"/>
        <v>40</v>
      </c>
      <c r="BA4" s="20">
        <f t="shared" si="1"/>
        <v>41</v>
      </c>
      <c r="BB4" s="20">
        <f t="shared" si="1"/>
        <v>42</v>
      </c>
      <c r="BC4" s="20">
        <f t="shared" si="1"/>
        <v>43</v>
      </c>
      <c r="BD4" s="20">
        <f t="shared" si="1"/>
        <v>44</v>
      </c>
      <c r="BE4" s="20">
        <f t="shared" si="1"/>
        <v>45</v>
      </c>
      <c r="BF4" s="20">
        <f t="shared" si="1"/>
        <v>46</v>
      </c>
      <c r="BG4" s="20">
        <f t="shared" si="1"/>
        <v>47</v>
      </c>
      <c r="BH4" s="20">
        <f t="shared" si="1"/>
        <v>48</v>
      </c>
      <c r="BI4" s="20">
        <f t="shared" si="1"/>
        <v>49</v>
      </c>
      <c r="BJ4" s="20">
        <f t="shared" si="1"/>
        <v>50</v>
      </c>
      <c r="BK4" s="20">
        <f t="shared" si="1"/>
        <v>51</v>
      </c>
      <c r="BL4" s="20">
        <f t="shared" si="1"/>
        <v>52</v>
      </c>
      <c r="BM4" s="20">
        <f t="shared" si="1"/>
        <v>53</v>
      </c>
      <c r="BN4" s="20">
        <f t="shared" si="1"/>
        <v>54</v>
      </c>
      <c r="BO4" s="20">
        <f t="shared" si="1"/>
        <v>55</v>
      </c>
      <c r="BP4" s="20">
        <f t="shared" si="1"/>
        <v>56</v>
      </c>
      <c r="BQ4" s="20">
        <f t="shared" si="1"/>
        <v>57</v>
      </c>
      <c r="BR4" s="20">
        <f t="shared" si="1"/>
        <v>58</v>
      </c>
      <c r="BS4" s="20">
        <f t="shared" si="1"/>
        <v>59</v>
      </c>
      <c r="BT4" s="20">
        <f t="shared" si="1"/>
        <v>60</v>
      </c>
      <c r="BU4" s="11"/>
      <c r="BV4" s="20">
        <v>12</v>
      </c>
      <c r="BW4" s="20">
        <v>24</v>
      </c>
      <c r="BX4" s="20">
        <v>36</v>
      </c>
      <c r="BY4" s="20">
        <v>48</v>
      </c>
      <c r="BZ4" s="20">
        <v>60</v>
      </c>
    </row>
    <row r="5" spans="1:78" x14ac:dyDescent="0.3">
      <c r="A5" s="159" t="s">
        <v>199</v>
      </c>
      <c r="B5" s="160"/>
      <c r="C5" s="160"/>
      <c r="D5" s="160"/>
      <c r="E5" s="160"/>
      <c r="F5" s="160"/>
      <c r="G5" s="30"/>
      <c r="H5" s="30"/>
      <c r="I5" s="30"/>
      <c r="J5" s="30"/>
      <c r="K5" s="30"/>
      <c r="BU5" s="11"/>
    </row>
    <row r="6" spans="1:78" x14ac:dyDescent="0.3">
      <c r="A6" s="161" t="s">
        <v>200</v>
      </c>
      <c r="B6" s="161"/>
      <c r="C6" s="160"/>
      <c r="D6" s="160"/>
      <c r="E6" s="160"/>
      <c r="F6" s="160"/>
      <c r="G6" s="30"/>
      <c r="H6" s="30"/>
      <c r="I6" s="30"/>
      <c r="J6" s="30"/>
      <c r="K6" s="30"/>
      <c r="BU6" s="11"/>
    </row>
    <row r="7" spans="1:78" x14ac:dyDescent="0.3">
      <c r="A7" s="161" t="s">
        <v>176</v>
      </c>
      <c r="B7" s="161" t="s">
        <v>201</v>
      </c>
      <c r="C7" s="160"/>
      <c r="D7" s="160"/>
      <c r="E7" s="160"/>
      <c r="F7" s="160"/>
      <c r="G7" s="30"/>
      <c r="H7" s="30"/>
      <c r="I7" s="30"/>
      <c r="J7" s="30"/>
      <c r="K7" s="30"/>
      <c r="BU7" s="11"/>
    </row>
    <row r="8" spans="1:78" x14ac:dyDescent="0.3">
      <c r="A8" s="161" t="s">
        <v>176</v>
      </c>
      <c r="B8" s="161" t="s">
        <v>202</v>
      </c>
      <c r="C8" s="160"/>
      <c r="D8" s="160"/>
      <c r="E8" s="160"/>
      <c r="F8" s="160"/>
      <c r="G8" s="30"/>
      <c r="H8" s="30"/>
      <c r="I8" s="30"/>
      <c r="J8" s="30"/>
      <c r="K8" s="30"/>
      <c r="M8" s="24">
        <f>L8+IS!M36</f>
        <v>-877780</v>
      </c>
      <c r="N8" s="24">
        <f>M8+IS!N36</f>
        <v>-1727267.8017285424</v>
      </c>
      <c r="O8" s="24">
        <f>N8+IS!O36</f>
        <v>-2548463.4051856273</v>
      </c>
      <c r="P8" s="24">
        <f>O8+IS!P36</f>
        <v>-3508121.5915677832</v>
      </c>
      <c r="Q8" s="24">
        <f>P8+IS!Q36</f>
        <v>-4468745.5483393632</v>
      </c>
      <c r="R8" s="24">
        <f>Q8+IS!R36</f>
        <v>-5381180.4943038374</v>
      </c>
      <c r="S8" s="24">
        <f>R8+IS!S36</f>
        <v>-6789264.6790334377</v>
      </c>
      <c r="T8" s="24">
        <f>S8+IS!T36</f>
        <v>-8079366.2278846381</v>
      </c>
      <c r="U8" s="24">
        <f>T8+IS!U36</f>
        <v>-9300897.8907148484</v>
      </c>
      <c r="V8" s="24">
        <f>U8+IS!V36</f>
        <v>-10855691.542167593</v>
      </c>
      <c r="W8" s="24">
        <f>V8+IS!W36</f>
        <v>-12282224.869992407</v>
      </c>
      <c r="X8" s="24">
        <f>W8+IS!X36</f>
        <v>-13531033.530599702</v>
      </c>
      <c r="Y8" s="24">
        <f>X8+IS!Y36</f>
        <v>-15397131.397492286</v>
      </c>
      <c r="Z8" s="24">
        <f>Y8+IS!Z36</f>
        <v>-17069865.753292583</v>
      </c>
      <c r="AA8" s="24">
        <f>Z8+IS!AA36</f>
        <v>-18602958.910251066</v>
      </c>
      <c r="AB8" s="24">
        <f>AA8+IS!AB36</f>
        <v>-20189574.055832084</v>
      </c>
      <c r="AC8" s="24">
        <f>AB8+IS!AC36</f>
        <v>-21604754.37749999</v>
      </c>
      <c r="AD8" s="24">
        <f>AC8+IS!AD36</f>
        <v>-22794725.96927214</v>
      </c>
      <c r="AE8" s="24">
        <f>AD8+IS!AE36</f>
        <v>-26028647.826015301</v>
      </c>
      <c r="AF8" s="24">
        <f>AE8+IS!AF36</f>
        <v>-28852166.733488873</v>
      </c>
      <c r="AG8" s="24">
        <f>AF8+IS!AG36</f>
        <v>-31265385.879157212</v>
      </c>
      <c r="AH8" s="24">
        <f>AG8+IS!AH36</f>
        <v>-33660015.387236074</v>
      </c>
      <c r="AI8" s="24">
        <f>AH8+IS!AI36</f>
        <v>-35606654.695902757</v>
      </c>
      <c r="AJ8" s="24">
        <f>AI8+IS!AJ36</f>
        <v>-37159593.64846167</v>
      </c>
      <c r="AK8" s="24">
        <f>AJ8+IS!AK36</f>
        <v>-39753477.865991592</v>
      </c>
      <c r="AL8" s="24">
        <f>AK8+IS!AL36</f>
        <v>-41906648.97755634</v>
      </c>
      <c r="AM8" s="24">
        <f>AL8+IS!AM36</f>
        <v>-43619210.170620263</v>
      </c>
      <c r="AN8" s="24">
        <f>AM8+IS!AN36</f>
        <v>-45174895.694185227</v>
      </c>
      <c r="AO8" s="24">
        <f>AN8+IS!AO36</f>
        <v>-46298280.86164242</v>
      </c>
      <c r="AP8" s="24">
        <f>AO8+IS!AP36</f>
        <v>-46989468.860456198</v>
      </c>
      <c r="AQ8" s="24">
        <f>AP8+IS!AQ36</f>
        <v>-47807186.313986778</v>
      </c>
      <c r="AR8" s="24">
        <f>AQ8+IS!AR36</f>
        <v>-48257067.754999176</v>
      </c>
      <c r="AS8" s="24">
        <f>AR8+IS!AS36</f>
        <v>-48339216.37095774</v>
      </c>
      <c r="AT8" s="24">
        <f>AS8+IS!AT36</f>
        <v>-48319242.942488641</v>
      </c>
      <c r="AU8" s="24">
        <f>AT8+IS!AU36</f>
        <v>-47973794.657626592</v>
      </c>
      <c r="AV8" s="24">
        <f>AU8+IS!AV36</f>
        <v>-47362180.48446212</v>
      </c>
      <c r="AW8" s="24">
        <f>AV8+IS!AW36</f>
        <v>-47995182.670998961</v>
      </c>
      <c r="AX8" s="24">
        <f>AW8+IS!AX36</f>
        <v>-48226117.53219679</v>
      </c>
      <c r="AY8" s="24">
        <f>AX8+IS!AY36</f>
        <v>-48119288.817342669</v>
      </c>
      <c r="AZ8" s="24">
        <f>AY8+IS!AZ36</f>
        <v>-47847466.651365288</v>
      </c>
      <c r="BA8" s="24">
        <f>AZ8+IS!BA36</f>
        <v>-47240293.659193352</v>
      </c>
      <c r="BB8" s="24">
        <f>BA8+IS!BB36</f>
        <v>-46233620.87273635</v>
      </c>
      <c r="BC8" s="24">
        <f>BB8+IS!BC36</f>
        <v>-45321489.102961436</v>
      </c>
      <c r="BD8" s="24">
        <f>BC8+IS!BD36</f>
        <v>-44212167.10129451</v>
      </c>
      <c r="BE8" s="24">
        <f>BD8+IS!BE36</f>
        <v>-42970268.17941568</v>
      </c>
      <c r="BF8" s="24">
        <f>BE8+IS!BF36</f>
        <v>-41845124.180201575</v>
      </c>
      <c r="BG8" s="24">
        <f>BF8+IS!BG36</f>
        <v>-40537254.292685047</v>
      </c>
      <c r="BH8" s="24">
        <f>BG8+IS!BH36</f>
        <v>-39111426.609742731</v>
      </c>
      <c r="BI8" s="24">
        <f>BH8+IS!BI36</f>
        <v>-39594662.190381169</v>
      </c>
      <c r="BJ8" s="24">
        <f>BI8+IS!BJ36</f>
        <v>-39923207.100379936</v>
      </c>
      <c r="BK8" s="24">
        <f>BJ8+IS!BK36</f>
        <v>-40097267.714667737</v>
      </c>
      <c r="BL8" s="24">
        <f>BK8+IS!BL36</f>
        <v>-40348812.001014262</v>
      </c>
      <c r="BM8" s="24">
        <f>BL8+IS!BM36</f>
        <v>-40432336.33523941</v>
      </c>
      <c r="BN8" s="24">
        <f>BM8+IS!BN36</f>
        <v>-40277748.624466531</v>
      </c>
      <c r="BO8" s="24">
        <f>BN8+IS!BO36</f>
        <v>-40204498.491735026</v>
      </c>
      <c r="BP8" s="24">
        <f>BO8+IS!BP36</f>
        <v>-39965847.531668246</v>
      </c>
      <c r="BQ8" s="24">
        <f>BP8+IS!BQ36</f>
        <v>-39562002.11919491</v>
      </c>
      <c r="BR8" s="24">
        <f>BQ8+IS!BR36</f>
        <v>-39230879.784477763</v>
      </c>
      <c r="BS8" s="24">
        <f>BR8+IS!BS36</f>
        <v>-38733027.340943635</v>
      </c>
      <c r="BT8" s="24">
        <f>BS8+IS!BT36</f>
        <v>-38068651.163521238</v>
      </c>
      <c r="BU8" s="11"/>
      <c r="BV8" s="37">
        <f>INDEX($M8:$BT8,MATCH(BV$4,$M$4:$BT$4,0))</f>
        <v>-13531033.530599702</v>
      </c>
      <c r="BW8" s="37">
        <f t="shared" ref="BW8:BZ9" si="2">INDEX($M8:$BT8,MATCH(BW$4,$M$4:$BT$4,0))</f>
        <v>-37159593.64846167</v>
      </c>
      <c r="BX8" s="37">
        <f t="shared" si="2"/>
        <v>-47362180.48446212</v>
      </c>
      <c r="BY8" s="37">
        <f t="shared" si="2"/>
        <v>-39111426.609742731</v>
      </c>
      <c r="BZ8" s="37">
        <f t="shared" si="2"/>
        <v>-38068651.163521238</v>
      </c>
    </row>
    <row r="9" spans="1:78" x14ac:dyDescent="0.3">
      <c r="A9" s="162"/>
      <c r="B9" s="163" t="s">
        <v>203</v>
      </c>
      <c r="C9" s="163"/>
      <c r="D9" s="163"/>
      <c r="E9" s="163"/>
      <c r="F9" s="163"/>
      <c r="G9" s="164"/>
      <c r="H9" s="164"/>
      <c r="I9" s="164"/>
      <c r="J9" s="164"/>
      <c r="K9" s="164"/>
      <c r="L9" s="124"/>
      <c r="M9" s="130">
        <f>SUM(M7:M8)</f>
        <v>-877780</v>
      </c>
      <c r="N9" s="130">
        <f t="shared" ref="N9:BT9" si="3">SUM(N7:N8)</f>
        <v>-1727267.8017285424</v>
      </c>
      <c r="O9" s="130">
        <f t="shared" si="3"/>
        <v>-2548463.4051856273</v>
      </c>
      <c r="P9" s="130">
        <f t="shared" si="3"/>
        <v>-3508121.5915677832</v>
      </c>
      <c r="Q9" s="130">
        <f t="shared" si="3"/>
        <v>-4468745.5483393632</v>
      </c>
      <c r="R9" s="130">
        <f t="shared" si="3"/>
        <v>-5381180.4943038374</v>
      </c>
      <c r="S9" s="130">
        <f t="shared" si="3"/>
        <v>-6789264.6790334377</v>
      </c>
      <c r="T9" s="130">
        <f t="shared" si="3"/>
        <v>-8079366.2278846381</v>
      </c>
      <c r="U9" s="130">
        <f t="shared" si="3"/>
        <v>-9300897.8907148484</v>
      </c>
      <c r="V9" s="130">
        <f t="shared" si="3"/>
        <v>-10855691.542167593</v>
      </c>
      <c r="W9" s="130">
        <f t="shared" si="3"/>
        <v>-12282224.869992407</v>
      </c>
      <c r="X9" s="130">
        <f t="shared" si="3"/>
        <v>-13531033.530599702</v>
      </c>
      <c r="Y9" s="130">
        <f t="shared" si="3"/>
        <v>-15397131.397492286</v>
      </c>
      <c r="Z9" s="130">
        <f t="shared" si="3"/>
        <v>-17069865.753292583</v>
      </c>
      <c r="AA9" s="130">
        <f t="shared" si="3"/>
        <v>-18602958.910251066</v>
      </c>
      <c r="AB9" s="130">
        <f t="shared" si="3"/>
        <v>-20189574.055832084</v>
      </c>
      <c r="AC9" s="130">
        <f t="shared" si="3"/>
        <v>-21604754.37749999</v>
      </c>
      <c r="AD9" s="130">
        <f t="shared" si="3"/>
        <v>-22794725.96927214</v>
      </c>
      <c r="AE9" s="130">
        <f t="shared" si="3"/>
        <v>-26028647.826015301</v>
      </c>
      <c r="AF9" s="130">
        <f t="shared" si="3"/>
        <v>-28852166.733488873</v>
      </c>
      <c r="AG9" s="130">
        <f t="shared" si="3"/>
        <v>-31265385.879157212</v>
      </c>
      <c r="AH9" s="130">
        <f t="shared" si="3"/>
        <v>-33660015.387236074</v>
      </c>
      <c r="AI9" s="130">
        <f t="shared" si="3"/>
        <v>-35606654.695902757</v>
      </c>
      <c r="AJ9" s="130">
        <f t="shared" si="3"/>
        <v>-37159593.64846167</v>
      </c>
      <c r="AK9" s="130">
        <f t="shared" si="3"/>
        <v>-39753477.865991592</v>
      </c>
      <c r="AL9" s="130">
        <f t="shared" si="3"/>
        <v>-41906648.97755634</v>
      </c>
      <c r="AM9" s="130">
        <f t="shared" si="3"/>
        <v>-43619210.170620263</v>
      </c>
      <c r="AN9" s="130">
        <f t="shared" si="3"/>
        <v>-45174895.694185227</v>
      </c>
      <c r="AO9" s="130">
        <f t="shared" si="3"/>
        <v>-46298280.86164242</v>
      </c>
      <c r="AP9" s="130">
        <f t="shared" si="3"/>
        <v>-46989468.860456198</v>
      </c>
      <c r="AQ9" s="130">
        <f t="shared" si="3"/>
        <v>-47807186.313986778</v>
      </c>
      <c r="AR9" s="130">
        <f t="shared" si="3"/>
        <v>-48257067.754999176</v>
      </c>
      <c r="AS9" s="130">
        <f t="shared" si="3"/>
        <v>-48339216.37095774</v>
      </c>
      <c r="AT9" s="130">
        <f t="shared" si="3"/>
        <v>-48319242.942488641</v>
      </c>
      <c r="AU9" s="130">
        <f t="shared" si="3"/>
        <v>-47973794.657626592</v>
      </c>
      <c r="AV9" s="130">
        <f t="shared" si="3"/>
        <v>-47362180.48446212</v>
      </c>
      <c r="AW9" s="130">
        <f t="shared" si="3"/>
        <v>-47995182.670998961</v>
      </c>
      <c r="AX9" s="130">
        <f t="shared" si="3"/>
        <v>-48226117.53219679</v>
      </c>
      <c r="AY9" s="130">
        <f t="shared" si="3"/>
        <v>-48119288.817342669</v>
      </c>
      <c r="AZ9" s="130">
        <f t="shared" si="3"/>
        <v>-47847466.651365288</v>
      </c>
      <c r="BA9" s="130">
        <f t="shared" si="3"/>
        <v>-47240293.659193352</v>
      </c>
      <c r="BB9" s="130">
        <f t="shared" si="3"/>
        <v>-46233620.87273635</v>
      </c>
      <c r="BC9" s="130">
        <f t="shared" si="3"/>
        <v>-45321489.102961436</v>
      </c>
      <c r="BD9" s="130">
        <f t="shared" si="3"/>
        <v>-44212167.10129451</v>
      </c>
      <c r="BE9" s="130">
        <f t="shared" si="3"/>
        <v>-42970268.17941568</v>
      </c>
      <c r="BF9" s="130">
        <f t="shared" si="3"/>
        <v>-41845124.180201575</v>
      </c>
      <c r="BG9" s="130">
        <f t="shared" si="3"/>
        <v>-40537254.292685047</v>
      </c>
      <c r="BH9" s="130">
        <f t="shared" si="3"/>
        <v>-39111426.609742731</v>
      </c>
      <c r="BI9" s="130">
        <f t="shared" si="3"/>
        <v>-39594662.190381169</v>
      </c>
      <c r="BJ9" s="130">
        <f t="shared" si="3"/>
        <v>-39923207.100379936</v>
      </c>
      <c r="BK9" s="130">
        <f t="shared" si="3"/>
        <v>-40097267.714667737</v>
      </c>
      <c r="BL9" s="130">
        <f t="shared" si="3"/>
        <v>-40348812.001014262</v>
      </c>
      <c r="BM9" s="130">
        <f t="shared" si="3"/>
        <v>-40432336.33523941</v>
      </c>
      <c r="BN9" s="130">
        <f t="shared" si="3"/>
        <v>-40277748.624466531</v>
      </c>
      <c r="BO9" s="130">
        <f t="shared" si="3"/>
        <v>-40204498.491735026</v>
      </c>
      <c r="BP9" s="130">
        <f t="shared" si="3"/>
        <v>-39965847.531668246</v>
      </c>
      <c r="BQ9" s="130">
        <f t="shared" si="3"/>
        <v>-39562002.11919491</v>
      </c>
      <c r="BR9" s="130">
        <f t="shared" si="3"/>
        <v>-39230879.784477763</v>
      </c>
      <c r="BS9" s="130">
        <f t="shared" si="3"/>
        <v>-38733027.340943635</v>
      </c>
      <c r="BT9" s="130">
        <f t="shared" si="3"/>
        <v>-38068651.163521238</v>
      </c>
      <c r="BU9" s="11"/>
      <c r="BV9" s="130">
        <f>INDEX($M9:$BT9,MATCH(BV$4,$M$4:$BT$4,0))</f>
        <v>-13531033.530599702</v>
      </c>
      <c r="BW9" s="130">
        <f t="shared" si="2"/>
        <v>-37159593.64846167</v>
      </c>
      <c r="BX9" s="130">
        <f t="shared" si="2"/>
        <v>-47362180.48446212</v>
      </c>
      <c r="BY9" s="130">
        <f t="shared" si="2"/>
        <v>-39111426.609742731</v>
      </c>
      <c r="BZ9" s="130">
        <f t="shared" si="2"/>
        <v>-38068651.163521238</v>
      </c>
    </row>
    <row r="10" spans="1:78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BU10" s="11"/>
    </row>
    <row r="11" spans="1:78" x14ac:dyDescent="0.3">
      <c r="A11" s="165" t="s">
        <v>204</v>
      </c>
      <c r="B11" s="166"/>
      <c r="C11" s="167"/>
      <c r="D11" s="167"/>
      <c r="E11" s="167"/>
      <c r="F11" s="167"/>
      <c r="G11" s="30"/>
      <c r="H11" s="30"/>
      <c r="I11" s="30"/>
      <c r="J11" s="30"/>
      <c r="K11" s="30"/>
      <c r="BU11" s="11"/>
    </row>
    <row r="12" spans="1:78" x14ac:dyDescent="0.3">
      <c r="A12" s="168" t="s">
        <v>205</v>
      </c>
      <c r="B12" s="166"/>
      <c r="C12" s="169"/>
      <c r="D12" s="169"/>
      <c r="E12" s="169"/>
      <c r="F12" s="169"/>
      <c r="G12" s="30"/>
      <c r="H12" s="30"/>
      <c r="I12" s="30"/>
      <c r="J12" s="30"/>
      <c r="K12" s="30"/>
      <c r="BU12" s="11"/>
    </row>
    <row r="13" spans="1:78" x14ac:dyDescent="0.3">
      <c r="A13" s="167"/>
      <c r="B13" s="166" t="s">
        <v>206</v>
      </c>
      <c r="C13" s="169"/>
      <c r="D13" s="169"/>
      <c r="E13" s="169"/>
      <c r="F13" s="169"/>
      <c r="G13" s="30"/>
      <c r="H13" s="30"/>
      <c r="I13" s="30"/>
      <c r="J13" s="30"/>
      <c r="K13" s="30"/>
      <c r="BU13" s="11"/>
      <c r="BV13" s="37">
        <f>INDEX($M13:$BT13,MATCH(BV$4,$M$4:$BT$4,0))</f>
        <v>0</v>
      </c>
      <c r="BW13" s="37">
        <f t="shared" ref="BW13:BZ18" si="4">INDEX($M13:$BT13,MATCH(BW$4,$M$4:$BT$4,0))</f>
        <v>0</v>
      </c>
      <c r="BX13" s="37">
        <f t="shared" si="4"/>
        <v>0</v>
      </c>
      <c r="BY13" s="37">
        <f t="shared" si="4"/>
        <v>0</v>
      </c>
      <c r="BZ13" s="37">
        <f t="shared" si="4"/>
        <v>0</v>
      </c>
    </row>
    <row r="14" spans="1:78" x14ac:dyDescent="0.3">
      <c r="A14" s="168" t="s">
        <v>207</v>
      </c>
      <c r="B14" s="170"/>
      <c r="C14" s="170"/>
      <c r="D14" s="170"/>
      <c r="E14" s="170"/>
      <c r="F14" s="170"/>
      <c r="G14" s="30"/>
      <c r="H14" s="30"/>
      <c r="I14" s="30"/>
      <c r="J14" s="30"/>
      <c r="K14" s="30"/>
      <c r="BU14" s="11"/>
    </row>
    <row r="15" spans="1:78" x14ac:dyDescent="0.3">
      <c r="A15" s="166" t="s">
        <v>176</v>
      </c>
      <c r="B15" s="166" t="s">
        <v>257</v>
      </c>
      <c r="C15" s="170"/>
      <c r="D15" s="170"/>
      <c r="E15" s="170"/>
      <c r="F15" s="170"/>
      <c r="G15" s="30"/>
      <c r="H15" s="30"/>
      <c r="I15" s="30"/>
      <c r="J15" s="30"/>
      <c r="K15" s="30"/>
      <c r="M15" s="24">
        <f>'Revenue Buildup'!M18-'Revenue Buildup'!M20</f>
        <v>440000</v>
      </c>
      <c r="N15" s="24">
        <f>'Revenue Buildup'!N18-'Revenue Buildup'!N20</f>
        <v>400000</v>
      </c>
      <c r="O15" s="24">
        <f>'Revenue Buildup'!O18-'Revenue Buildup'!O20</f>
        <v>360000</v>
      </c>
      <c r="P15" s="24">
        <f>'Revenue Buildup'!P18-'Revenue Buildup'!P20</f>
        <v>540000</v>
      </c>
      <c r="Q15" s="24">
        <f>'Revenue Buildup'!Q18-'Revenue Buildup'!Q20</f>
        <v>480000</v>
      </c>
      <c r="R15" s="24">
        <f>'Revenue Buildup'!R18-'Revenue Buildup'!R20</f>
        <v>420000</v>
      </c>
      <c r="S15" s="24">
        <f>'Revenue Buildup'!S18-'Revenue Buildup'!S20</f>
        <v>1130000</v>
      </c>
      <c r="T15" s="24">
        <f>'Revenue Buildup'!T18-'Revenue Buildup'!T20</f>
        <v>1000000</v>
      </c>
      <c r="U15" s="24">
        <f>'Revenue Buildup'!U18-'Revenue Buildup'!U20</f>
        <v>870000</v>
      </c>
      <c r="V15" s="24">
        <f>'Revenue Buildup'!V18-'Revenue Buildup'!V20</f>
        <v>1400000</v>
      </c>
      <c r="W15" s="24">
        <f>'Revenue Buildup'!W18-'Revenue Buildup'!W20</f>
        <v>1210000</v>
      </c>
      <c r="X15" s="24">
        <f>'Revenue Buildup'!X18-'Revenue Buildup'!X20</f>
        <v>1020000</v>
      </c>
      <c r="Y15" s="24">
        <f>'Revenue Buildup'!Y18-'Revenue Buildup'!Y20</f>
        <v>1486000</v>
      </c>
      <c r="Z15" s="24">
        <f>'Revenue Buildup'!Z18-'Revenue Buildup'!Z20</f>
        <v>1280000</v>
      </c>
      <c r="AA15" s="24">
        <f>'Revenue Buildup'!AA18-'Revenue Buildup'!AA20</f>
        <v>1074000</v>
      </c>
      <c r="AB15" s="24">
        <f>'Revenue Buildup'!AB18-'Revenue Buildup'!AB20</f>
        <v>1460000</v>
      </c>
      <c r="AC15" s="24">
        <f>'Revenue Buildup'!AC18-'Revenue Buildup'!AC20</f>
        <v>1222000</v>
      </c>
      <c r="AD15" s="24">
        <f>'Revenue Buildup'!AD18-'Revenue Buildup'!AD20</f>
        <v>984000</v>
      </c>
      <c r="AE15" s="24">
        <f>'Revenue Buildup'!AE18-'Revenue Buildup'!AE20</f>
        <v>4226000</v>
      </c>
      <c r="AF15" s="24">
        <f>'Revenue Buildup'!AF18-'Revenue Buildup'!AF20</f>
        <v>3748000</v>
      </c>
      <c r="AG15" s="24">
        <f>'Revenue Buildup'!AG18-'Revenue Buildup'!AG20</f>
        <v>3270000</v>
      </c>
      <c r="AH15" s="24">
        <f>'Revenue Buildup'!AH18-'Revenue Buildup'!AH20</f>
        <v>3930000</v>
      </c>
      <c r="AI15" s="24">
        <f>'Revenue Buildup'!AI18-'Revenue Buildup'!AI20</f>
        <v>3414000</v>
      </c>
      <c r="AJ15" s="24">
        <f>'Revenue Buildup'!AJ18-'Revenue Buildup'!AJ20</f>
        <v>2898000</v>
      </c>
      <c r="AK15" s="24">
        <f>'Revenue Buildup'!AK18-'Revenue Buildup'!AK20</f>
        <v>3032000</v>
      </c>
      <c r="AL15" s="24">
        <f>'Revenue Buildup'!AL18-'Revenue Buildup'!AL20</f>
        <v>2518000</v>
      </c>
      <c r="AM15" s="24">
        <f>'Revenue Buildup'!AM18-'Revenue Buildup'!AM20</f>
        <v>2004000</v>
      </c>
      <c r="AN15" s="24">
        <f>'Revenue Buildup'!AN18-'Revenue Buildup'!AN20</f>
        <v>2026000</v>
      </c>
      <c r="AO15" s="24">
        <f>'Revenue Buildup'!AO18-'Revenue Buildup'!AO20</f>
        <v>1520000</v>
      </c>
      <c r="AP15" s="24">
        <f>'Revenue Buildup'!AP18-'Revenue Buildup'!AP20</f>
        <v>1014000</v>
      </c>
      <c r="AQ15" s="24">
        <f>'Revenue Buildup'!AQ18-'Revenue Buildup'!AQ20</f>
        <v>3524000</v>
      </c>
      <c r="AR15" s="24">
        <f>'Revenue Buildup'!AR18-'Revenue Buildup'!AR20</f>
        <v>3082000</v>
      </c>
      <c r="AS15" s="24">
        <f>'Revenue Buildup'!AS18-'Revenue Buildup'!AS20</f>
        <v>2640000</v>
      </c>
      <c r="AT15" s="24">
        <f>'Revenue Buildup'!AT18-'Revenue Buildup'!AT20</f>
        <v>2912000</v>
      </c>
      <c r="AU15" s="24">
        <f>'Revenue Buildup'!AU18-'Revenue Buildup'!AU20</f>
        <v>2512000</v>
      </c>
      <c r="AV15" s="24">
        <f>'Revenue Buildup'!AV18-'Revenue Buildup'!AV20</f>
        <v>2112000</v>
      </c>
      <c r="AW15" s="24">
        <f>'Revenue Buildup'!AW18-'Revenue Buildup'!AW20</f>
        <v>3262000</v>
      </c>
      <c r="AX15" s="24">
        <f>'Revenue Buildup'!AX18-'Revenue Buildup'!AX20</f>
        <v>2780000</v>
      </c>
      <c r="AY15" s="24">
        <f>'Revenue Buildup'!AY18-'Revenue Buildup'!AY20</f>
        <v>2298000</v>
      </c>
      <c r="AZ15" s="24">
        <f>'Revenue Buildup'!AZ18-'Revenue Buildup'!AZ20</f>
        <v>2322000</v>
      </c>
      <c r="BA15" s="24">
        <f>'Revenue Buildup'!BA18-'Revenue Buildup'!BA20</f>
        <v>1842000</v>
      </c>
      <c r="BB15" s="24">
        <f>'Revenue Buildup'!BB18-'Revenue Buildup'!BB20</f>
        <v>1362000</v>
      </c>
      <c r="BC15" s="24">
        <f>'Revenue Buildup'!BC18-'Revenue Buildup'!BC20</f>
        <v>1612000</v>
      </c>
      <c r="BD15" s="24">
        <f>'Revenue Buildup'!BD18-'Revenue Buildup'!BD20</f>
        <v>1334000</v>
      </c>
      <c r="BE15" s="24">
        <f>'Revenue Buildup'!BE18-'Revenue Buildup'!BE20</f>
        <v>1056000</v>
      </c>
      <c r="BF15" s="24">
        <f>'Revenue Buildup'!BF18-'Revenue Buildup'!BF20</f>
        <v>1296000</v>
      </c>
      <c r="BG15" s="24">
        <f>'Revenue Buildup'!BG18-'Revenue Buildup'!BG20</f>
        <v>1032000</v>
      </c>
      <c r="BH15" s="24">
        <f>'Revenue Buildup'!BH18-'Revenue Buildup'!BH20</f>
        <v>768000</v>
      </c>
      <c r="BI15" s="24">
        <f>'Revenue Buildup'!BI18-'Revenue Buildup'!BI20</f>
        <v>2664000</v>
      </c>
      <c r="BJ15" s="24">
        <f>'Revenue Buildup'!BJ18-'Revenue Buildup'!BJ20</f>
        <v>2352000</v>
      </c>
      <c r="BK15" s="24">
        <f>'Revenue Buildup'!BK18-'Revenue Buildup'!BK20</f>
        <v>2040000</v>
      </c>
      <c r="BL15" s="24">
        <f>'Revenue Buildup'!BL18-'Revenue Buildup'!BL20</f>
        <v>2386000</v>
      </c>
      <c r="BM15" s="24">
        <f>'Revenue Buildup'!BM18-'Revenue Buildup'!BM20</f>
        <v>2060000</v>
      </c>
      <c r="BN15" s="24">
        <f>'Revenue Buildup'!BN18-'Revenue Buildup'!BN20</f>
        <v>1734000</v>
      </c>
      <c r="BO15" s="24">
        <f>'Revenue Buildup'!BO18-'Revenue Buildup'!BO20</f>
        <v>1914000</v>
      </c>
      <c r="BP15" s="24">
        <f>'Revenue Buildup'!BP18-'Revenue Buildup'!BP20</f>
        <v>1590000</v>
      </c>
      <c r="BQ15" s="24">
        <f>'Revenue Buildup'!BQ18-'Revenue Buildup'!BQ20</f>
        <v>1266000</v>
      </c>
      <c r="BR15" s="24">
        <f>'Revenue Buildup'!BR18-'Revenue Buildup'!BR20</f>
        <v>1468000</v>
      </c>
      <c r="BS15" s="24">
        <f>'Revenue Buildup'!BS18-'Revenue Buildup'!BS20</f>
        <v>1142000</v>
      </c>
      <c r="BT15" s="24">
        <f>'Revenue Buildup'!BT18-'Revenue Buildup'!BT20</f>
        <v>816000</v>
      </c>
      <c r="BU15" s="11"/>
    </row>
    <row r="16" spans="1:78" x14ac:dyDescent="0.3">
      <c r="A16" s="166" t="s">
        <v>176</v>
      </c>
      <c r="B16" s="166" t="s">
        <v>208</v>
      </c>
      <c r="C16" s="167"/>
      <c r="D16" s="167"/>
      <c r="E16" s="167"/>
      <c r="F16" s="167"/>
      <c r="G16" s="30"/>
      <c r="H16" s="30"/>
      <c r="I16" s="30"/>
      <c r="J16" s="30"/>
      <c r="K16" s="30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11"/>
      <c r="BV16" s="37">
        <f>INDEX($M16:$BT16,MATCH(BV$4,$M$4:$BT$4,0))</f>
        <v>0</v>
      </c>
      <c r="BW16" s="37">
        <f t="shared" si="4"/>
        <v>0</v>
      </c>
      <c r="BX16" s="37">
        <f t="shared" si="4"/>
        <v>0</v>
      </c>
      <c r="BY16" s="37">
        <f t="shared" si="4"/>
        <v>0</v>
      </c>
      <c r="BZ16" s="37">
        <f t="shared" si="4"/>
        <v>0</v>
      </c>
    </row>
    <row r="17" spans="1:78" x14ac:dyDescent="0.3">
      <c r="A17" s="166" t="s">
        <v>176</v>
      </c>
      <c r="B17" s="166" t="s">
        <v>209</v>
      </c>
      <c r="C17" s="167"/>
      <c r="D17" s="167"/>
      <c r="E17" s="167"/>
      <c r="F17" s="167"/>
      <c r="G17" s="30"/>
      <c r="H17" s="30"/>
      <c r="I17" s="30"/>
      <c r="J17" s="30"/>
      <c r="K17" s="30"/>
      <c r="BU17" s="11"/>
      <c r="BV17" s="37">
        <f>INDEX($M17:$BT17,MATCH(BV$4,$M$4:$BT$4,0))</f>
        <v>0</v>
      </c>
      <c r="BW17" s="37">
        <f t="shared" si="4"/>
        <v>0</v>
      </c>
      <c r="BX17" s="37">
        <f t="shared" si="4"/>
        <v>0</v>
      </c>
      <c r="BY17" s="37">
        <f t="shared" si="4"/>
        <v>0</v>
      </c>
      <c r="BZ17" s="37">
        <f t="shared" si="4"/>
        <v>0</v>
      </c>
    </row>
    <row r="18" spans="1:78" x14ac:dyDescent="0.3">
      <c r="A18" s="162"/>
      <c r="B18" s="163" t="s">
        <v>210</v>
      </c>
      <c r="C18" s="163"/>
      <c r="D18" s="163"/>
      <c r="E18" s="163"/>
      <c r="F18" s="163"/>
      <c r="G18" s="164"/>
      <c r="H18" s="164"/>
      <c r="I18" s="164"/>
      <c r="J18" s="164"/>
      <c r="K18" s="164"/>
      <c r="L18" s="124"/>
      <c r="M18" s="49">
        <f>SUM(M13,M16:M17)</f>
        <v>0</v>
      </c>
      <c r="N18" s="49">
        <f t="shared" ref="N18:BT18" si="5">SUM(N13,N16:N17)</f>
        <v>0</v>
      </c>
      <c r="O18" s="49">
        <f t="shared" si="5"/>
        <v>0</v>
      </c>
      <c r="P18" s="49">
        <f t="shared" si="5"/>
        <v>0</v>
      </c>
      <c r="Q18" s="49">
        <f t="shared" si="5"/>
        <v>0</v>
      </c>
      <c r="R18" s="49">
        <f t="shared" si="5"/>
        <v>0</v>
      </c>
      <c r="S18" s="49">
        <f t="shared" si="5"/>
        <v>0</v>
      </c>
      <c r="T18" s="49">
        <f t="shared" si="5"/>
        <v>0</v>
      </c>
      <c r="U18" s="49">
        <f t="shared" si="5"/>
        <v>0</v>
      </c>
      <c r="V18" s="49">
        <f t="shared" si="5"/>
        <v>0</v>
      </c>
      <c r="W18" s="49">
        <f t="shared" si="5"/>
        <v>0</v>
      </c>
      <c r="X18" s="49">
        <f t="shared" si="5"/>
        <v>0</v>
      </c>
      <c r="Y18" s="49">
        <f t="shared" si="5"/>
        <v>0</v>
      </c>
      <c r="Z18" s="49">
        <f t="shared" si="5"/>
        <v>0</v>
      </c>
      <c r="AA18" s="49">
        <f t="shared" si="5"/>
        <v>0</v>
      </c>
      <c r="AB18" s="49">
        <f t="shared" si="5"/>
        <v>0</v>
      </c>
      <c r="AC18" s="49">
        <f t="shared" si="5"/>
        <v>0</v>
      </c>
      <c r="AD18" s="49">
        <f t="shared" si="5"/>
        <v>0</v>
      </c>
      <c r="AE18" s="49">
        <f t="shared" si="5"/>
        <v>0</v>
      </c>
      <c r="AF18" s="49">
        <f t="shared" si="5"/>
        <v>0</v>
      </c>
      <c r="AG18" s="49">
        <f t="shared" si="5"/>
        <v>0</v>
      </c>
      <c r="AH18" s="49">
        <f t="shared" si="5"/>
        <v>0</v>
      </c>
      <c r="AI18" s="49">
        <f t="shared" si="5"/>
        <v>0</v>
      </c>
      <c r="AJ18" s="49">
        <f t="shared" si="5"/>
        <v>0</v>
      </c>
      <c r="AK18" s="49">
        <f t="shared" si="5"/>
        <v>0</v>
      </c>
      <c r="AL18" s="49">
        <f t="shared" si="5"/>
        <v>0</v>
      </c>
      <c r="AM18" s="49">
        <f t="shared" si="5"/>
        <v>0</v>
      </c>
      <c r="AN18" s="49">
        <f t="shared" si="5"/>
        <v>0</v>
      </c>
      <c r="AO18" s="49">
        <f t="shared" si="5"/>
        <v>0</v>
      </c>
      <c r="AP18" s="49">
        <f t="shared" si="5"/>
        <v>0</v>
      </c>
      <c r="AQ18" s="49">
        <f t="shared" si="5"/>
        <v>0</v>
      </c>
      <c r="AR18" s="49">
        <f t="shared" si="5"/>
        <v>0</v>
      </c>
      <c r="AS18" s="49">
        <f t="shared" si="5"/>
        <v>0</v>
      </c>
      <c r="AT18" s="49">
        <f t="shared" si="5"/>
        <v>0</v>
      </c>
      <c r="AU18" s="49">
        <f t="shared" si="5"/>
        <v>0</v>
      </c>
      <c r="AV18" s="49">
        <f t="shared" si="5"/>
        <v>0</v>
      </c>
      <c r="AW18" s="49">
        <f t="shared" si="5"/>
        <v>0</v>
      </c>
      <c r="AX18" s="49">
        <f t="shared" si="5"/>
        <v>0</v>
      </c>
      <c r="AY18" s="49">
        <f t="shared" si="5"/>
        <v>0</v>
      </c>
      <c r="AZ18" s="49">
        <f t="shared" si="5"/>
        <v>0</v>
      </c>
      <c r="BA18" s="49">
        <f t="shared" si="5"/>
        <v>0</v>
      </c>
      <c r="BB18" s="49">
        <f t="shared" si="5"/>
        <v>0</v>
      </c>
      <c r="BC18" s="49">
        <f t="shared" si="5"/>
        <v>0</v>
      </c>
      <c r="BD18" s="49">
        <f t="shared" si="5"/>
        <v>0</v>
      </c>
      <c r="BE18" s="49">
        <f t="shared" si="5"/>
        <v>0</v>
      </c>
      <c r="BF18" s="49">
        <f t="shared" si="5"/>
        <v>0</v>
      </c>
      <c r="BG18" s="49">
        <f t="shared" si="5"/>
        <v>0</v>
      </c>
      <c r="BH18" s="49">
        <f t="shared" si="5"/>
        <v>0</v>
      </c>
      <c r="BI18" s="49">
        <f t="shared" si="5"/>
        <v>0</v>
      </c>
      <c r="BJ18" s="49">
        <f t="shared" si="5"/>
        <v>0</v>
      </c>
      <c r="BK18" s="49">
        <f t="shared" si="5"/>
        <v>0</v>
      </c>
      <c r="BL18" s="49">
        <f t="shared" si="5"/>
        <v>0</v>
      </c>
      <c r="BM18" s="49">
        <f t="shared" si="5"/>
        <v>0</v>
      </c>
      <c r="BN18" s="49">
        <f t="shared" si="5"/>
        <v>0</v>
      </c>
      <c r="BO18" s="49">
        <f t="shared" si="5"/>
        <v>0</v>
      </c>
      <c r="BP18" s="49">
        <f t="shared" si="5"/>
        <v>0</v>
      </c>
      <c r="BQ18" s="49">
        <f t="shared" si="5"/>
        <v>0</v>
      </c>
      <c r="BR18" s="49">
        <f t="shared" si="5"/>
        <v>0</v>
      </c>
      <c r="BS18" s="49">
        <f t="shared" si="5"/>
        <v>0</v>
      </c>
      <c r="BT18" s="49">
        <f t="shared" si="5"/>
        <v>0</v>
      </c>
      <c r="BU18" s="11"/>
      <c r="BV18" s="130">
        <f>INDEX($M18:$BT18,MATCH(BV$4,$M$4:$BT$4,0))</f>
        <v>0</v>
      </c>
      <c r="BW18" s="130">
        <f t="shared" si="4"/>
        <v>0</v>
      </c>
      <c r="BX18" s="130">
        <f t="shared" si="4"/>
        <v>0</v>
      </c>
      <c r="BY18" s="130">
        <f t="shared" si="4"/>
        <v>0</v>
      </c>
      <c r="BZ18" s="130">
        <f t="shared" si="4"/>
        <v>0</v>
      </c>
    </row>
    <row r="19" spans="1:78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BU19" s="11"/>
    </row>
    <row r="20" spans="1:78" x14ac:dyDescent="0.3">
      <c r="A20" s="201"/>
      <c r="B20" s="202" t="s">
        <v>211</v>
      </c>
      <c r="C20" s="201"/>
      <c r="D20" s="201"/>
      <c r="E20" s="201"/>
      <c r="F20" s="201"/>
      <c r="G20" s="201"/>
      <c r="H20" s="201"/>
      <c r="I20" s="201"/>
      <c r="J20" s="203"/>
      <c r="K20" s="203"/>
      <c r="L20" s="158"/>
      <c r="M20" s="156">
        <f>M9+M18</f>
        <v>-877780</v>
      </c>
      <c r="N20" s="156">
        <f t="shared" ref="N20:BY20" si="6">N9+N18</f>
        <v>-1727267.8017285424</v>
      </c>
      <c r="O20" s="156">
        <f t="shared" si="6"/>
        <v>-2548463.4051856273</v>
      </c>
      <c r="P20" s="156">
        <f t="shared" si="6"/>
        <v>-3508121.5915677832</v>
      </c>
      <c r="Q20" s="156">
        <f t="shared" si="6"/>
        <v>-4468745.5483393632</v>
      </c>
      <c r="R20" s="156">
        <f t="shared" si="6"/>
        <v>-5381180.4943038374</v>
      </c>
      <c r="S20" s="156">
        <f t="shared" si="6"/>
        <v>-6789264.6790334377</v>
      </c>
      <c r="T20" s="156">
        <f t="shared" si="6"/>
        <v>-8079366.2278846381</v>
      </c>
      <c r="U20" s="156">
        <f t="shared" si="6"/>
        <v>-9300897.8907148484</v>
      </c>
      <c r="V20" s="156">
        <f t="shared" si="6"/>
        <v>-10855691.542167593</v>
      </c>
      <c r="W20" s="156">
        <f t="shared" si="6"/>
        <v>-12282224.869992407</v>
      </c>
      <c r="X20" s="156">
        <f t="shared" si="6"/>
        <v>-13531033.530599702</v>
      </c>
      <c r="Y20" s="156">
        <f t="shared" si="6"/>
        <v>-15397131.397492286</v>
      </c>
      <c r="Z20" s="156">
        <f t="shared" si="6"/>
        <v>-17069865.753292583</v>
      </c>
      <c r="AA20" s="156">
        <f t="shared" si="6"/>
        <v>-18602958.910251066</v>
      </c>
      <c r="AB20" s="156">
        <f t="shared" si="6"/>
        <v>-20189574.055832084</v>
      </c>
      <c r="AC20" s="156">
        <f t="shared" si="6"/>
        <v>-21604754.37749999</v>
      </c>
      <c r="AD20" s="156">
        <f t="shared" si="6"/>
        <v>-22794725.96927214</v>
      </c>
      <c r="AE20" s="156">
        <f t="shared" si="6"/>
        <v>-26028647.826015301</v>
      </c>
      <c r="AF20" s="156">
        <f t="shared" si="6"/>
        <v>-28852166.733488873</v>
      </c>
      <c r="AG20" s="156">
        <f t="shared" si="6"/>
        <v>-31265385.879157212</v>
      </c>
      <c r="AH20" s="156">
        <f t="shared" si="6"/>
        <v>-33660015.387236074</v>
      </c>
      <c r="AI20" s="156">
        <f t="shared" si="6"/>
        <v>-35606654.695902757</v>
      </c>
      <c r="AJ20" s="156">
        <f t="shared" si="6"/>
        <v>-37159593.64846167</v>
      </c>
      <c r="AK20" s="156">
        <f t="shared" si="6"/>
        <v>-39753477.865991592</v>
      </c>
      <c r="AL20" s="156">
        <f t="shared" si="6"/>
        <v>-41906648.97755634</v>
      </c>
      <c r="AM20" s="156">
        <f t="shared" si="6"/>
        <v>-43619210.170620263</v>
      </c>
      <c r="AN20" s="156">
        <f t="shared" si="6"/>
        <v>-45174895.694185227</v>
      </c>
      <c r="AO20" s="156">
        <f t="shared" si="6"/>
        <v>-46298280.86164242</v>
      </c>
      <c r="AP20" s="156">
        <f t="shared" si="6"/>
        <v>-46989468.860456198</v>
      </c>
      <c r="AQ20" s="156">
        <f t="shared" si="6"/>
        <v>-47807186.313986778</v>
      </c>
      <c r="AR20" s="156">
        <f t="shared" si="6"/>
        <v>-48257067.754999176</v>
      </c>
      <c r="AS20" s="156">
        <f t="shared" si="6"/>
        <v>-48339216.37095774</v>
      </c>
      <c r="AT20" s="156">
        <f t="shared" si="6"/>
        <v>-48319242.942488641</v>
      </c>
      <c r="AU20" s="156">
        <f t="shared" si="6"/>
        <v>-47973794.657626592</v>
      </c>
      <c r="AV20" s="156">
        <f t="shared" si="6"/>
        <v>-47362180.48446212</v>
      </c>
      <c r="AW20" s="156">
        <f t="shared" si="6"/>
        <v>-47995182.670998961</v>
      </c>
      <c r="AX20" s="156">
        <f t="shared" si="6"/>
        <v>-48226117.53219679</v>
      </c>
      <c r="AY20" s="156">
        <f t="shared" si="6"/>
        <v>-48119288.817342669</v>
      </c>
      <c r="AZ20" s="156">
        <f t="shared" si="6"/>
        <v>-47847466.651365288</v>
      </c>
      <c r="BA20" s="156">
        <f t="shared" si="6"/>
        <v>-47240293.659193352</v>
      </c>
      <c r="BB20" s="156">
        <f t="shared" si="6"/>
        <v>-46233620.87273635</v>
      </c>
      <c r="BC20" s="156">
        <f t="shared" si="6"/>
        <v>-45321489.102961436</v>
      </c>
      <c r="BD20" s="156">
        <f t="shared" si="6"/>
        <v>-44212167.10129451</v>
      </c>
      <c r="BE20" s="156">
        <f t="shared" si="6"/>
        <v>-42970268.17941568</v>
      </c>
      <c r="BF20" s="156">
        <f t="shared" si="6"/>
        <v>-41845124.180201575</v>
      </c>
      <c r="BG20" s="156">
        <f t="shared" si="6"/>
        <v>-40537254.292685047</v>
      </c>
      <c r="BH20" s="156">
        <f t="shared" si="6"/>
        <v>-39111426.609742731</v>
      </c>
      <c r="BI20" s="156">
        <f t="shared" si="6"/>
        <v>-39594662.190381169</v>
      </c>
      <c r="BJ20" s="156">
        <f t="shared" si="6"/>
        <v>-39923207.100379936</v>
      </c>
      <c r="BK20" s="156">
        <f t="shared" si="6"/>
        <v>-40097267.714667737</v>
      </c>
      <c r="BL20" s="156">
        <f t="shared" si="6"/>
        <v>-40348812.001014262</v>
      </c>
      <c r="BM20" s="156">
        <f t="shared" si="6"/>
        <v>-40432336.33523941</v>
      </c>
      <c r="BN20" s="156">
        <f t="shared" si="6"/>
        <v>-40277748.624466531</v>
      </c>
      <c r="BO20" s="156">
        <f t="shared" si="6"/>
        <v>-40204498.491735026</v>
      </c>
      <c r="BP20" s="156">
        <f t="shared" si="6"/>
        <v>-39965847.531668246</v>
      </c>
      <c r="BQ20" s="156">
        <f t="shared" si="6"/>
        <v>-39562002.11919491</v>
      </c>
      <c r="BR20" s="156">
        <f t="shared" si="6"/>
        <v>-39230879.784477763</v>
      </c>
      <c r="BS20" s="156">
        <f t="shared" si="6"/>
        <v>-38733027.340943635</v>
      </c>
      <c r="BT20" s="156">
        <f t="shared" si="6"/>
        <v>-38068651.163521238</v>
      </c>
      <c r="BU20" s="11"/>
      <c r="BV20" s="156">
        <f t="shared" si="6"/>
        <v>-13531033.530599702</v>
      </c>
      <c r="BW20" s="156">
        <f t="shared" si="6"/>
        <v>-37159593.64846167</v>
      </c>
      <c r="BX20" s="156">
        <f t="shared" si="6"/>
        <v>-47362180.48446212</v>
      </c>
      <c r="BY20" s="156">
        <f t="shared" si="6"/>
        <v>-39111426.609742731</v>
      </c>
      <c r="BZ20" s="156">
        <f t="shared" ref="BZ20" si="7">BZ9+BZ18</f>
        <v>-38068651.163521238</v>
      </c>
    </row>
    <row r="21" spans="1:78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BU21" s="11"/>
    </row>
    <row r="22" spans="1:78" x14ac:dyDescent="0.3">
      <c r="A22" s="171" t="s">
        <v>212</v>
      </c>
      <c r="B22" s="161"/>
      <c r="C22" s="160"/>
      <c r="D22" s="160"/>
      <c r="E22" s="160"/>
      <c r="F22" s="160"/>
      <c r="G22" s="30"/>
      <c r="H22" s="30"/>
      <c r="I22" s="30"/>
      <c r="J22" s="30"/>
      <c r="K22" s="30"/>
      <c r="BU22" s="11"/>
    </row>
    <row r="23" spans="1:78" x14ac:dyDescent="0.3">
      <c r="A23" s="161" t="s">
        <v>213</v>
      </c>
      <c r="B23" s="161"/>
      <c r="C23" s="160"/>
      <c r="D23" s="160"/>
      <c r="E23" s="160"/>
      <c r="F23" s="160"/>
      <c r="G23" s="30"/>
      <c r="H23" s="30"/>
      <c r="I23" s="30"/>
      <c r="J23" s="30"/>
      <c r="K23" s="30"/>
      <c r="BU23" s="11"/>
    </row>
    <row r="24" spans="1:78" x14ac:dyDescent="0.3">
      <c r="A24" s="160" t="s">
        <v>214</v>
      </c>
      <c r="B24" s="161"/>
      <c r="C24" s="172"/>
      <c r="D24" s="172"/>
      <c r="E24" s="172"/>
      <c r="F24" s="172"/>
      <c r="G24" s="30"/>
      <c r="H24" s="30"/>
      <c r="I24" s="30"/>
      <c r="J24" s="30"/>
      <c r="K24" s="30"/>
      <c r="BU24" s="11"/>
    </row>
    <row r="25" spans="1:78" x14ac:dyDescent="0.3">
      <c r="A25" s="161" t="s">
        <v>176</v>
      </c>
      <c r="B25" s="161" t="s">
        <v>215</v>
      </c>
      <c r="C25" s="172"/>
      <c r="D25" s="172"/>
      <c r="E25" s="172"/>
      <c r="F25" s="172"/>
      <c r="G25" s="30"/>
      <c r="H25" s="30"/>
      <c r="I25" s="30"/>
      <c r="J25" s="30"/>
      <c r="K25" s="30"/>
      <c r="BU25" s="11"/>
      <c r="BV25" s="37">
        <f>INDEX($M25:$BT25,MATCH(BV$4,$M$4:$BT$4,0))</f>
        <v>0</v>
      </c>
      <c r="BW25" s="37">
        <f t="shared" ref="BW25:BZ27" si="8">INDEX($M25:$BT25,MATCH(BW$4,$M$4:$BT$4,0))</f>
        <v>0</v>
      </c>
      <c r="BX25" s="37">
        <f t="shared" si="8"/>
        <v>0</v>
      </c>
      <c r="BY25" s="37">
        <f t="shared" si="8"/>
        <v>0</v>
      </c>
      <c r="BZ25" s="37">
        <f t="shared" si="8"/>
        <v>0</v>
      </c>
    </row>
    <row r="26" spans="1:78" x14ac:dyDescent="0.3">
      <c r="A26" s="161" t="s">
        <v>176</v>
      </c>
      <c r="B26" s="161" t="s">
        <v>216</v>
      </c>
      <c r="C26" s="172"/>
      <c r="D26" s="172"/>
      <c r="E26" s="172"/>
      <c r="F26" s="172"/>
      <c r="G26" s="30"/>
      <c r="H26" s="30"/>
      <c r="I26" s="30"/>
      <c r="J26" s="30"/>
      <c r="K26" s="30"/>
      <c r="BU26" s="11"/>
      <c r="BV26" s="37">
        <f t="shared" ref="BV26:BV27" si="9">INDEX($M26:$BT26,MATCH(BV$4,$M$4:$BT$4,0))</f>
        <v>0</v>
      </c>
      <c r="BW26" s="37">
        <f t="shared" si="8"/>
        <v>0</v>
      </c>
      <c r="BX26" s="37">
        <f t="shared" si="8"/>
        <v>0</v>
      </c>
      <c r="BY26" s="37">
        <f t="shared" si="8"/>
        <v>0</v>
      </c>
      <c r="BZ26" s="37">
        <f t="shared" si="8"/>
        <v>0</v>
      </c>
    </row>
    <row r="27" spans="1:78" x14ac:dyDescent="0.3">
      <c r="A27" s="161" t="s">
        <v>176</v>
      </c>
      <c r="B27" s="161" t="s">
        <v>217</v>
      </c>
      <c r="C27" s="172"/>
      <c r="D27" s="172"/>
      <c r="E27" s="172"/>
      <c r="F27" s="172"/>
      <c r="G27" s="30"/>
      <c r="H27" s="30"/>
      <c r="I27" s="30"/>
      <c r="J27" s="30"/>
      <c r="K27" s="30"/>
      <c r="BU27" s="11"/>
      <c r="BV27" s="37">
        <f t="shared" si="9"/>
        <v>0</v>
      </c>
      <c r="BW27" s="37">
        <f t="shared" si="8"/>
        <v>0</v>
      </c>
      <c r="BX27" s="37">
        <f t="shared" si="8"/>
        <v>0</v>
      </c>
      <c r="BY27" s="37">
        <f t="shared" si="8"/>
        <v>0</v>
      </c>
      <c r="BZ27" s="37">
        <f t="shared" si="8"/>
        <v>0</v>
      </c>
    </row>
    <row r="28" spans="1:78" x14ac:dyDescent="0.3">
      <c r="A28" s="162"/>
      <c r="B28" s="163" t="s">
        <v>218</v>
      </c>
      <c r="C28" s="163"/>
      <c r="D28" s="163"/>
      <c r="E28" s="163"/>
      <c r="F28" s="163"/>
      <c r="G28" s="164"/>
      <c r="H28" s="164"/>
      <c r="I28" s="164"/>
      <c r="J28" s="164"/>
      <c r="K28" s="164"/>
      <c r="L28" s="124"/>
      <c r="M28" s="173">
        <f>SUM(M25:M27)</f>
        <v>0</v>
      </c>
      <c r="N28" s="173">
        <f t="shared" ref="N28:BY28" si="10">SUM(N25:N27)</f>
        <v>0</v>
      </c>
      <c r="O28" s="173">
        <f t="shared" si="10"/>
        <v>0</v>
      </c>
      <c r="P28" s="173">
        <f t="shared" si="10"/>
        <v>0</v>
      </c>
      <c r="Q28" s="173">
        <f t="shared" si="10"/>
        <v>0</v>
      </c>
      <c r="R28" s="173">
        <f t="shared" si="10"/>
        <v>0</v>
      </c>
      <c r="S28" s="173">
        <f t="shared" si="10"/>
        <v>0</v>
      </c>
      <c r="T28" s="173">
        <f t="shared" si="10"/>
        <v>0</v>
      </c>
      <c r="U28" s="173">
        <f t="shared" si="10"/>
        <v>0</v>
      </c>
      <c r="V28" s="173">
        <f t="shared" si="10"/>
        <v>0</v>
      </c>
      <c r="W28" s="173">
        <f t="shared" si="10"/>
        <v>0</v>
      </c>
      <c r="X28" s="173">
        <f t="shared" si="10"/>
        <v>0</v>
      </c>
      <c r="Y28" s="173">
        <f t="shared" si="10"/>
        <v>0</v>
      </c>
      <c r="Z28" s="173">
        <f t="shared" si="10"/>
        <v>0</v>
      </c>
      <c r="AA28" s="173">
        <f t="shared" si="10"/>
        <v>0</v>
      </c>
      <c r="AB28" s="173">
        <f t="shared" si="10"/>
        <v>0</v>
      </c>
      <c r="AC28" s="173">
        <f t="shared" si="10"/>
        <v>0</v>
      </c>
      <c r="AD28" s="173">
        <f t="shared" si="10"/>
        <v>0</v>
      </c>
      <c r="AE28" s="173">
        <f t="shared" si="10"/>
        <v>0</v>
      </c>
      <c r="AF28" s="173">
        <f t="shared" si="10"/>
        <v>0</v>
      </c>
      <c r="AG28" s="173">
        <f t="shared" si="10"/>
        <v>0</v>
      </c>
      <c r="AH28" s="173">
        <f t="shared" si="10"/>
        <v>0</v>
      </c>
      <c r="AI28" s="173">
        <f t="shared" si="10"/>
        <v>0</v>
      </c>
      <c r="AJ28" s="173">
        <f t="shared" si="10"/>
        <v>0</v>
      </c>
      <c r="AK28" s="173">
        <f t="shared" si="10"/>
        <v>0</v>
      </c>
      <c r="AL28" s="173">
        <f t="shared" si="10"/>
        <v>0</v>
      </c>
      <c r="AM28" s="173">
        <f t="shared" si="10"/>
        <v>0</v>
      </c>
      <c r="AN28" s="173">
        <f t="shared" si="10"/>
        <v>0</v>
      </c>
      <c r="AO28" s="173">
        <f t="shared" si="10"/>
        <v>0</v>
      </c>
      <c r="AP28" s="173">
        <f t="shared" si="10"/>
        <v>0</v>
      </c>
      <c r="AQ28" s="173">
        <f t="shared" si="10"/>
        <v>0</v>
      </c>
      <c r="AR28" s="173">
        <f t="shared" si="10"/>
        <v>0</v>
      </c>
      <c r="AS28" s="173">
        <f t="shared" si="10"/>
        <v>0</v>
      </c>
      <c r="AT28" s="173">
        <f t="shared" si="10"/>
        <v>0</v>
      </c>
      <c r="AU28" s="173">
        <f t="shared" si="10"/>
        <v>0</v>
      </c>
      <c r="AV28" s="173">
        <f t="shared" si="10"/>
        <v>0</v>
      </c>
      <c r="AW28" s="173">
        <f t="shared" si="10"/>
        <v>0</v>
      </c>
      <c r="AX28" s="173">
        <f t="shared" si="10"/>
        <v>0</v>
      </c>
      <c r="AY28" s="173">
        <f t="shared" si="10"/>
        <v>0</v>
      </c>
      <c r="AZ28" s="173">
        <f t="shared" si="10"/>
        <v>0</v>
      </c>
      <c r="BA28" s="173">
        <f t="shared" si="10"/>
        <v>0</v>
      </c>
      <c r="BB28" s="173">
        <f t="shared" si="10"/>
        <v>0</v>
      </c>
      <c r="BC28" s="173">
        <f t="shared" si="10"/>
        <v>0</v>
      </c>
      <c r="BD28" s="173">
        <f t="shared" si="10"/>
        <v>0</v>
      </c>
      <c r="BE28" s="173">
        <f t="shared" si="10"/>
        <v>0</v>
      </c>
      <c r="BF28" s="173">
        <f t="shared" si="10"/>
        <v>0</v>
      </c>
      <c r="BG28" s="173">
        <f t="shared" si="10"/>
        <v>0</v>
      </c>
      <c r="BH28" s="173">
        <f t="shared" si="10"/>
        <v>0</v>
      </c>
      <c r="BI28" s="173">
        <f t="shared" si="10"/>
        <v>0</v>
      </c>
      <c r="BJ28" s="173">
        <f t="shared" si="10"/>
        <v>0</v>
      </c>
      <c r="BK28" s="173">
        <f t="shared" si="10"/>
        <v>0</v>
      </c>
      <c r="BL28" s="173">
        <f t="shared" si="10"/>
        <v>0</v>
      </c>
      <c r="BM28" s="173">
        <f t="shared" si="10"/>
        <v>0</v>
      </c>
      <c r="BN28" s="173">
        <f t="shared" si="10"/>
        <v>0</v>
      </c>
      <c r="BO28" s="173">
        <f t="shared" si="10"/>
        <v>0</v>
      </c>
      <c r="BP28" s="173">
        <f t="shared" si="10"/>
        <v>0</v>
      </c>
      <c r="BQ28" s="173">
        <f t="shared" si="10"/>
        <v>0</v>
      </c>
      <c r="BR28" s="173">
        <f t="shared" si="10"/>
        <v>0</v>
      </c>
      <c r="BS28" s="173">
        <f t="shared" si="10"/>
        <v>0</v>
      </c>
      <c r="BT28" s="173">
        <f t="shared" si="10"/>
        <v>0</v>
      </c>
      <c r="BU28" s="11"/>
      <c r="BV28" s="173">
        <f t="shared" si="10"/>
        <v>0</v>
      </c>
      <c r="BW28" s="173">
        <f t="shared" si="10"/>
        <v>0</v>
      </c>
      <c r="BX28" s="173">
        <f t="shared" si="10"/>
        <v>0</v>
      </c>
      <c r="BY28" s="173">
        <f t="shared" si="10"/>
        <v>0</v>
      </c>
      <c r="BZ28" s="173">
        <f t="shared" ref="BZ28" si="11">SUM(BZ25:BZ27)</f>
        <v>0</v>
      </c>
    </row>
    <row r="29" spans="1:78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BU29" s="11"/>
    </row>
    <row r="30" spans="1:78" x14ac:dyDescent="0.3">
      <c r="A30" s="161" t="s">
        <v>219</v>
      </c>
      <c r="B30" s="161"/>
      <c r="C30" s="172"/>
      <c r="D30" s="172"/>
      <c r="E30" s="172"/>
      <c r="F30" s="172"/>
      <c r="G30" s="30"/>
      <c r="H30" s="30"/>
      <c r="I30" s="30"/>
      <c r="J30" s="30"/>
      <c r="K30" s="30"/>
      <c r="BU30" s="11"/>
    </row>
    <row r="31" spans="1:78" x14ac:dyDescent="0.3">
      <c r="A31" s="161" t="s">
        <v>176</v>
      </c>
      <c r="B31" s="161" t="s">
        <v>220</v>
      </c>
      <c r="C31" s="172"/>
      <c r="D31" s="172"/>
      <c r="E31" s="172"/>
      <c r="F31" s="172"/>
      <c r="G31" s="30"/>
      <c r="H31" s="30"/>
      <c r="I31" s="30"/>
      <c r="J31" s="30"/>
      <c r="K31" s="30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11"/>
      <c r="BV31" s="37">
        <f t="shared" ref="BV31:BZ34" si="12">INDEX($M31:$BT31,MATCH(BV$4,$M$4:$BT$4,0))</f>
        <v>0</v>
      </c>
      <c r="BW31" s="37">
        <f t="shared" si="12"/>
        <v>0</v>
      </c>
      <c r="BX31" s="37">
        <f t="shared" si="12"/>
        <v>0</v>
      </c>
      <c r="BY31" s="37">
        <f t="shared" si="12"/>
        <v>0</v>
      </c>
      <c r="BZ31" s="37">
        <f t="shared" si="12"/>
        <v>0</v>
      </c>
    </row>
    <row r="32" spans="1:78" x14ac:dyDescent="0.3">
      <c r="A32" s="161" t="s">
        <v>176</v>
      </c>
      <c r="B32" s="161" t="s">
        <v>221</v>
      </c>
      <c r="C32" s="172"/>
      <c r="D32" s="172"/>
      <c r="E32" s="172"/>
      <c r="F32" s="172"/>
      <c r="G32" s="30"/>
      <c r="H32" s="30"/>
      <c r="I32" s="30"/>
      <c r="J32" s="30"/>
      <c r="K32" s="30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11"/>
      <c r="BV32" s="37">
        <f t="shared" si="12"/>
        <v>0</v>
      </c>
      <c r="BW32" s="37">
        <f t="shared" si="12"/>
        <v>0</v>
      </c>
      <c r="BX32" s="37">
        <f t="shared" si="12"/>
        <v>0</v>
      </c>
      <c r="BY32" s="37">
        <f t="shared" si="12"/>
        <v>0</v>
      </c>
      <c r="BZ32" s="37">
        <f t="shared" si="12"/>
        <v>0</v>
      </c>
    </row>
    <row r="33" spans="1:78" x14ac:dyDescent="0.3">
      <c r="A33" s="161" t="s">
        <v>176</v>
      </c>
      <c r="B33" s="161" t="s">
        <v>222</v>
      </c>
      <c r="C33" s="172"/>
      <c r="D33" s="172"/>
      <c r="E33" s="172"/>
      <c r="F33" s="172"/>
      <c r="G33" s="30"/>
      <c r="H33" s="30"/>
      <c r="I33" s="30"/>
      <c r="J33" s="30"/>
      <c r="K33" s="30"/>
      <c r="M33" s="24">
        <f>CFS!M43</f>
        <v>-437780</v>
      </c>
      <c r="N33" s="24">
        <f>CFS!N43</f>
        <v>-1327267.8017285424</v>
      </c>
      <c r="O33" s="24">
        <f>CFS!O43</f>
        <v>-2188463.4051856273</v>
      </c>
      <c r="P33" s="24">
        <f>CFS!P43</f>
        <v>-2968121.5915677832</v>
      </c>
      <c r="Q33" s="24">
        <f>CFS!Q43</f>
        <v>-3988745.5483393627</v>
      </c>
      <c r="R33" s="24">
        <f>CFS!R43</f>
        <v>-4961180.4943038374</v>
      </c>
      <c r="S33" s="24">
        <f>CFS!S43</f>
        <v>-5659264.6790334377</v>
      </c>
      <c r="T33" s="24">
        <f>CFS!T43</f>
        <v>-7079366.2278846381</v>
      </c>
      <c r="U33" s="24">
        <f>CFS!U43</f>
        <v>-8430897.8907148484</v>
      </c>
      <c r="V33" s="24">
        <f>CFS!V43</f>
        <v>-9455691.5421675928</v>
      </c>
      <c r="W33" s="24">
        <f>CFS!W43</f>
        <v>-11072224.869992407</v>
      </c>
      <c r="X33" s="24">
        <f>CFS!X43</f>
        <v>-12511033.530599702</v>
      </c>
      <c r="Y33" s="24">
        <f>CFS!Y43</f>
        <v>-13911131.397492286</v>
      </c>
      <c r="Z33" s="24">
        <f>CFS!Z43</f>
        <v>-15789865.753292585</v>
      </c>
      <c r="AA33" s="24">
        <f>CFS!AA43</f>
        <v>-17528958.910251066</v>
      </c>
      <c r="AB33" s="24">
        <f>CFS!AB43</f>
        <v>-18729574.055832084</v>
      </c>
      <c r="AC33" s="24">
        <f>CFS!AC43</f>
        <v>-20382754.37749999</v>
      </c>
      <c r="AD33" s="24">
        <f>CFS!AD43</f>
        <v>-21810725.96927214</v>
      </c>
      <c r="AE33" s="24">
        <f>CFS!AE43</f>
        <v>-21802647.826015301</v>
      </c>
      <c r="AF33" s="24">
        <f>CFS!AF43</f>
        <v>-25104166.733488873</v>
      </c>
      <c r="AG33" s="24">
        <f>CFS!AG43</f>
        <v>-27995385.879157212</v>
      </c>
      <c r="AH33" s="24">
        <f>CFS!AH43</f>
        <v>-29730015.387236074</v>
      </c>
      <c r="AI33" s="24">
        <f>CFS!AI43</f>
        <v>-32192654.695902761</v>
      </c>
      <c r="AJ33" s="24">
        <f>CFS!AJ43</f>
        <v>-34261593.648461677</v>
      </c>
      <c r="AK33" s="24">
        <f>CFS!AK43</f>
        <v>-36721477.8659916</v>
      </c>
      <c r="AL33" s="24">
        <f>CFS!AL43</f>
        <v>-39388648.977556348</v>
      </c>
      <c r="AM33" s="24">
        <f>CFS!AM43</f>
        <v>-41615210.17062027</v>
      </c>
      <c r="AN33" s="24">
        <f>CFS!AN43</f>
        <v>-43148895.694185235</v>
      </c>
      <c r="AO33" s="24">
        <f>CFS!AO43</f>
        <v>-44778280.861642428</v>
      </c>
      <c r="AP33" s="24">
        <f>CFS!AP43</f>
        <v>-45975468.860456206</v>
      </c>
      <c r="AQ33" s="24">
        <f>CFS!AQ43</f>
        <v>-44283186.313986786</v>
      </c>
      <c r="AR33" s="24">
        <f>CFS!AR43</f>
        <v>-45175067.754999183</v>
      </c>
      <c r="AS33" s="24">
        <f>CFS!AS43</f>
        <v>-45699216.370957747</v>
      </c>
      <c r="AT33" s="24">
        <f>CFS!AT43</f>
        <v>-45407242.942488648</v>
      </c>
      <c r="AU33" s="24">
        <f>CFS!AU43</f>
        <v>-45461794.657626599</v>
      </c>
      <c r="AV33" s="24">
        <f>CFS!AV43</f>
        <v>-45250180.484462127</v>
      </c>
      <c r="AW33" s="24">
        <f>CFS!AW43</f>
        <v>-44733182.670998968</v>
      </c>
      <c r="AX33" s="24">
        <f>CFS!AX43</f>
        <v>-45446117.532196805</v>
      </c>
      <c r="AY33" s="24">
        <f>CFS!AY43</f>
        <v>-45821288.817342684</v>
      </c>
      <c r="AZ33" s="24">
        <f>CFS!AZ43</f>
        <v>-45525466.651365303</v>
      </c>
      <c r="BA33" s="24">
        <f>CFS!BA43</f>
        <v>-45398293.659193367</v>
      </c>
      <c r="BB33" s="24">
        <f>CFS!BB43</f>
        <v>-44871620.872736365</v>
      </c>
      <c r="BC33" s="24">
        <f>CFS!BC43</f>
        <v>-43709489.102961451</v>
      </c>
      <c r="BD33" s="24">
        <f>CFS!BD43</f>
        <v>-42878167.101294525</v>
      </c>
      <c r="BE33" s="24">
        <f>CFS!BE43</f>
        <v>-41914268.179415695</v>
      </c>
      <c r="BF33" s="24">
        <f>CFS!BF43</f>
        <v>-40549124.18020159</v>
      </c>
      <c r="BG33" s="24">
        <f>CFS!BG43</f>
        <v>-39505254.292685062</v>
      </c>
      <c r="BH33" s="24">
        <f>CFS!BH43</f>
        <v>-38343426.609742746</v>
      </c>
      <c r="BI33" s="24">
        <f>CFS!BI43</f>
        <v>-36930662.190381184</v>
      </c>
      <c r="BJ33" s="24">
        <f>CFS!BJ43</f>
        <v>-37571207.100379951</v>
      </c>
      <c r="BK33" s="24">
        <f>CFS!BK43</f>
        <v>-38057267.714667752</v>
      </c>
      <c r="BL33" s="24">
        <f>CFS!BL43</f>
        <v>-37962812.001014277</v>
      </c>
      <c r="BM33" s="24">
        <f>CFS!BM43</f>
        <v>-38372336.335239425</v>
      </c>
      <c r="BN33" s="24">
        <f>CFS!BN43</f>
        <v>-38543748.624466546</v>
      </c>
      <c r="BO33" s="24">
        <f>CFS!BO43</f>
        <v>-38290498.491735041</v>
      </c>
      <c r="BP33" s="24">
        <f>CFS!BP43</f>
        <v>-38375847.531668261</v>
      </c>
      <c r="BQ33" s="24">
        <f>CFS!BQ43</f>
        <v>-38296002.119194925</v>
      </c>
      <c r="BR33" s="24">
        <f>CFS!BR43</f>
        <v>-37762879.784477778</v>
      </c>
      <c r="BS33" s="24">
        <f>CFS!BS43</f>
        <v>-37591027.340943649</v>
      </c>
      <c r="BT33" s="24">
        <f>CFS!BT43</f>
        <v>-37252651.163521253</v>
      </c>
      <c r="BU33" s="11"/>
      <c r="BV33" s="37">
        <f t="shared" si="12"/>
        <v>-12511033.530599702</v>
      </c>
      <c r="BW33" s="37">
        <f t="shared" si="12"/>
        <v>-34261593.648461677</v>
      </c>
      <c r="BX33" s="37">
        <f t="shared" si="12"/>
        <v>-45250180.484462127</v>
      </c>
      <c r="BY33" s="37">
        <f t="shared" si="12"/>
        <v>-38343426.609742746</v>
      </c>
      <c r="BZ33" s="37">
        <f t="shared" si="12"/>
        <v>-37252651.163521253</v>
      </c>
    </row>
    <row r="34" spans="1:78" x14ac:dyDescent="0.3">
      <c r="A34" s="161" t="s">
        <v>176</v>
      </c>
      <c r="B34" s="161" t="s">
        <v>223</v>
      </c>
      <c r="C34" s="172"/>
      <c r="D34" s="172"/>
      <c r="E34" s="172"/>
      <c r="F34" s="172"/>
      <c r="G34" s="30"/>
      <c r="H34" s="30"/>
      <c r="I34" s="30"/>
      <c r="J34" s="30"/>
      <c r="K34" s="30"/>
      <c r="BU34" s="11"/>
      <c r="BV34" s="37">
        <f t="shared" si="12"/>
        <v>0</v>
      </c>
      <c r="BW34" s="37">
        <f t="shared" si="12"/>
        <v>0</v>
      </c>
      <c r="BX34" s="37">
        <f t="shared" si="12"/>
        <v>0</v>
      </c>
      <c r="BY34" s="37">
        <f t="shared" si="12"/>
        <v>0</v>
      </c>
      <c r="BZ34" s="37">
        <f t="shared" si="12"/>
        <v>0</v>
      </c>
    </row>
    <row r="35" spans="1:78" x14ac:dyDescent="0.3">
      <c r="A35" s="162"/>
      <c r="B35" s="163" t="s">
        <v>224</v>
      </c>
      <c r="C35" s="163"/>
      <c r="D35" s="163"/>
      <c r="E35" s="163"/>
      <c r="F35" s="163"/>
      <c r="G35" s="131"/>
      <c r="H35" s="131"/>
      <c r="I35" s="131"/>
      <c r="J35" s="131"/>
      <c r="K35" s="131"/>
      <c r="L35" s="124"/>
      <c r="M35" s="49">
        <f>SUM(M31:M34)</f>
        <v>-437780</v>
      </c>
      <c r="N35" s="49">
        <f t="shared" ref="N35:BY35" si="13">SUM(N31:N34)</f>
        <v>-1327267.8017285424</v>
      </c>
      <c r="O35" s="49">
        <f t="shared" si="13"/>
        <v>-2188463.4051856273</v>
      </c>
      <c r="P35" s="49">
        <f t="shared" si="13"/>
        <v>-2968121.5915677832</v>
      </c>
      <c r="Q35" s="49">
        <f t="shared" si="13"/>
        <v>-3988745.5483393627</v>
      </c>
      <c r="R35" s="49">
        <f t="shared" si="13"/>
        <v>-4961180.4943038374</v>
      </c>
      <c r="S35" s="49">
        <f t="shared" si="13"/>
        <v>-5659264.6790334377</v>
      </c>
      <c r="T35" s="49">
        <f t="shared" si="13"/>
        <v>-7079366.2278846381</v>
      </c>
      <c r="U35" s="49">
        <f t="shared" si="13"/>
        <v>-8430897.8907148484</v>
      </c>
      <c r="V35" s="49">
        <f t="shared" si="13"/>
        <v>-9455691.5421675928</v>
      </c>
      <c r="W35" s="49">
        <f t="shared" si="13"/>
        <v>-11072224.869992407</v>
      </c>
      <c r="X35" s="49">
        <f t="shared" si="13"/>
        <v>-12511033.530599702</v>
      </c>
      <c r="Y35" s="49">
        <f t="shared" si="13"/>
        <v>-13911131.397492286</v>
      </c>
      <c r="Z35" s="49">
        <f t="shared" si="13"/>
        <v>-15789865.753292585</v>
      </c>
      <c r="AA35" s="49">
        <f t="shared" si="13"/>
        <v>-17528958.910251066</v>
      </c>
      <c r="AB35" s="49">
        <f t="shared" si="13"/>
        <v>-18729574.055832084</v>
      </c>
      <c r="AC35" s="49">
        <f t="shared" si="13"/>
        <v>-20382754.37749999</v>
      </c>
      <c r="AD35" s="49">
        <f t="shared" si="13"/>
        <v>-21810725.96927214</v>
      </c>
      <c r="AE35" s="49">
        <f t="shared" si="13"/>
        <v>-21802647.826015301</v>
      </c>
      <c r="AF35" s="49">
        <f t="shared" si="13"/>
        <v>-25104166.733488873</v>
      </c>
      <c r="AG35" s="49">
        <f t="shared" si="13"/>
        <v>-27995385.879157212</v>
      </c>
      <c r="AH35" s="49">
        <f t="shared" si="13"/>
        <v>-29730015.387236074</v>
      </c>
      <c r="AI35" s="49">
        <f t="shared" si="13"/>
        <v>-32192654.695902761</v>
      </c>
      <c r="AJ35" s="49">
        <f t="shared" si="13"/>
        <v>-34261593.648461677</v>
      </c>
      <c r="AK35" s="49">
        <f t="shared" si="13"/>
        <v>-36721477.8659916</v>
      </c>
      <c r="AL35" s="49">
        <f t="shared" si="13"/>
        <v>-39388648.977556348</v>
      </c>
      <c r="AM35" s="49">
        <f t="shared" si="13"/>
        <v>-41615210.17062027</v>
      </c>
      <c r="AN35" s="49">
        <f t="shared" si="13"/>
        <v>-43148895.694185235</v>
      </c>
      <c r="AO35" s="49">
        <f t="shared" si="13"/>
        <v>-44778280.861642428</v>
      </c>
      <c r="AP35" s="49">
        <f t="shared" si="13"/>
        <v>-45975468.860456206</v>
      </c>
      <c r="AQ35" s="49">
        <f t="shared" si="13"/>
        <v>-44283186.313986786</v>
      </c>
      <c r="AR35" s="49">
        <f t="shared" si="13"/>
        <v>-45175067.754999183</v>
      </c>
      <c r="AS35" s="49">
        <f t="shared" si="13"/>
        <v>-45699216.370957747</v>
      </c>
      <c r="AT35" s="49">
        <f t="shared" si="13"/>
        <v>-45407242.942488648</v>
      </c>
      <c r="AU35" s="49">
        <f t="shared" si="13"/>
        <v>-45461794.657626599</v>
      </c>
      <c r="AV35" s="49">
        <f t="shared" si="13"/>
        <v>-45250180.484462127</v>
      </c>
      <c r="AW35" s="49">
        <f t="shared" si="13"/>
        <v>-44733182.670998968</v>
      </c>
      <c r="AX35" s="49">
        <f t="shared" si="13"/>
        <v>-45446117.532196805</v>
      </c>
      <c r="AY35" s="49">
        <f t="shared" si="13"/>
        <v>-45821288.817342684</v>
      </c>
      <c r="AZ35" s="49">
        <f t="shared" si="13"/>
        <v>-45525466.651365303</v>
      </c>
      <c r="BA35" s="49">
        <f t="shared" si="13"/>
        <v>-45398293.659193367</v>
      </c>
      <c r="BB35" s="49">
        <f t="shared" si="13"/>
        <v>-44871620.872736365</v>
      </c>
      <c r="BC35" s="49">
        <f t="shared" si="13"/>
        <v>-43709489.102961451</v>
      </c>
      <c r="BD35" s="49">
        <f t="shared" si="13"/>
        <v>-42878167.101294525</v>
      </c>
      <c r="BE35" s="49">
        <f t="shared" si="13"/>
        <v>-41914268.179415695</v>
      </c>
      <c r="BF35" s="49">
        <f t="shared" si="13"/>
        <v>-40549124.18020159</v>
      </c>
      <c r="BG35" s="49">
        <f t="shared" si="13"/>
        <v>-39505254.292685062</v>
      </c>
      <c r="BH35" s="49">
        <f t="shared" si="13"/>
        <v>-38343426.609742746</v>
      </c>
      <c r="BI35" s="49">
        <f t="shared" si="13"/>
        <v>-36930662.190381184</v>
      </c>
      <c r="BJ35" s="49">
        <f t="shared" si="13"/>
        <v>-37571207.100379951</v>
      </c>
      <c r="BK35" s="49">
        <f t="shared" si="13"/>
        <v>-38057267.714667752</v>
      </c>
      <c r="BL35" s="49">
        <f t="shared" si="13"/>
        <v>-37962812.001014277</v>
      </c>
      <c r="BM35" s="49">
        <f t="shared" si="13"/>
        <v>-38372336.335239425</v>
      </c>
      <c r="BN35" s="49">
        <f t="shared" si="13"/>
        <v>-38543748.624466546</v>
      </c>
      <c r="BO35" s="49">
        <f t="shared" si="13"/>
        <v>-38290498.491735041</v>
      </c>
      <c r="BP35" s="49">
        <f t="shared" si="13"/>
        <v>-38375847.531668261</v>
      </c>
      <c r="BQ35" s="49">
        <f t="shared" si="13"/>
        <v>-38296002.119194925</v>
      </c>
      <c r="BR35" s="49">
        <f t="shared" si="13"/>
        <v>-37762879.784477778</v>
      </c>
      <c r="BS35" s="49">
        <f t="shared" si="13"/>
        <v>-37591027.340943649</v>
      </c>
      <c r="BT35" s="49">
        <f t="shared" si="13"/>
        <v>-37252651.163521253</v>
      </c>
      <c r="BU35" s="11"/>
      <c r="BV35" s="49">
        <f t="shared" si="13"/>
        <v>-12511033.530599702</v>
      </c>
      <c r="BW35" s="49">
        <f t="shared" si="13"/>
        <v>-34261593.648461677</v>
      </c>
      <c r="BX35" s="49">
        <f t="shared" si="13"/>
        <v>-45250180.484462127</v>
      </c>
      <c r="BY35" s="49">
        <f t="shared" si="13"/>
        <v>-38343426.609742746</v>
      </c>
      <c r="BZ35" s="49">
        <f t="shared" ref="BZ35" si="14">SUM(BZ31:BZ34)</f>
        <v>-37252651.163521253</v>
      </c>
    </row>
    <row r="36" spans="1:78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BU36" s="11"/>
    </row>
    <row r="37" spans="1:78" x14ac:dyDescent="0.3">
      <c r="A37" s="201"/>
      <c r="B37" s="202" t="s">
        <v>225</v>
      </c>
      <c r="C37" s="204"/>
      <c r="D37" s="201"/>
      <c r="E37" s="205"/>
      <c r="F37" s="205"/>
      <c r="G37" s="205"/>
      <c r="H37" s="205"/>
      <c r="I37" s="205"/>
      <c r="J37" s="203"/>
      <c r="K37" s="203"/>
      <c r="L37" s="158"/>
      <c r="M37" s="156">
        <f>M28+M35</f>
        <v>-437780</v>
      </c>
      <c r="N37" s="156">
        <f t="shared" ref="N37:BY37" si="15">N28+N35</f>
        <v>-1327267.8017285424</v>
      </c>
      <c r="O37" s="156">
        <f t="shared" si="15"/>
        <v>-2188463.4051856273</v>
      </c>
      <c r="P37" s="156">
        <f t="shared" si="15"/>
        <v>-2968121.5915677832</v>
      </c>
      <c r="Q37" s="156">
        <f t="shared" si="15"/>
        <v>-3988745.5483393627</v>
      </c>
      <c r="R37" s="156">
        <f t="shared" si="15"/>
        <v>-4961180.4943038374</v>
      </c>
      <c r="S37" s="156">
        <f t="shared" si="15"/>
        <v>-5659264.6790334377</v>
      </c>
      <c r="T37" s="156">
        <f t="shared" si="15"/>
        <v>-7079366.2278846381</v>
      </c>
      <c r="U37" s="156">
        <f t="shared" si="15"/>
        <v>-8430897.8907148484</v>
      </c>
      <c r="V37" s="156">
        <f t="shared" si="15"/>
        <v>-9455691.5421675928</v>
      </c>
      <c r="W37" s="156">
        <f t="shared" si="15"/>
        <v>-11072224.869992407</v>
      </c>
      <c r="X37" s="156">
        <f t="shared" si="15"/>
        <v>-12511033.530599702</v>
      </c>
      <c r="Y37" s="156">
        <f t="shared" si="15"/>
        <v>-13911131.397492286</v>
      </c>
      <c r="Z37" s="156">
        <f t="shared" si="15"/>
        <v>-15789865.753292585</v>
      </c>
      <c r="AA37" s="156">
        <f t="shared" si="15"/>
        <v>-17528958.910251066</v>
      </c>
      <c r="AB37" s="156">
        <f t="shared" si="15"/>
        <v>-18729574.055832084</v>
      </c>
      <c r="AC37" s="156">
        <f t="shared" si="15"/>
        <v>-20382754.37749999</v>
      </c>
      <c r="AD37" s="156">
        <f t="shared" si="15"/>
        <v>-21810725.96927214</v>
      </c>
      <c r="AE37" s="156">
        <f t="shared" si="15"/>
        <v>-21802647.826015301</v>
      </c>
      <c r="AF37" s="156">
        <f t="shared" si="15"/>
        <v>-25104166.733488873</v>
      </c>
      <c r="AG37" s="156">
        <f t="shared" si="15"/>
        <v>-27995385.879157212</v>
      </c>
      <c r="AH37" s="156">
        <f t="shared" si="15"/>
        <v>-29730015.387236074</v>
      </c>
      <c r="AI37" s="156">
        <f t="shared" si="15"/>
        <v>-32192654.695902761</v>
      </c>
      <c r="AJ37" s="156">
        <f t="shared" si="15"/>
        <v>-34261593.648461677</v>
      </c>
      <c r="AK37" s="156">
        <f t="shared" si="15"/>
        <v>-36721477.8659916</v>
      </c>
      <c r="AL37" s="156">
        <f t="shared" si="15"/>
        <v>-39388648.977556348</v>
      </c>
      <c r="AM37" s="156">
        <f t="shared" si="15"/>
        <v>-41615210.17062027</v>
      </c>
      <c r="AN37" s="156">
        <f t="shared" si="15"/>
        <v>-43148895.694185235</v>
      </c>
      <c r="AO37" s="156">
        <f t="shared" si="15"/>
        <v>-44778280.861642428</v>
      </c>
      <c r="AP37" s="156">
        <f t="shared" si="15"/>
        <v>-45975468.860456206</v>
      </c>
      <c r="AQ37" s="156">
        <f t="shared" si="15"/>
        <v>-44283186.313986786</v>
      </c>
      <c r="AR37" s="156">
        <f t="shared" si="15"/>
        <v>-45175067.754999183</v>
      </c>
      <c r="AS37" s="156">
        <f t="shared" si="15"/>
        <v>-45699216.370957747</v>
      </c>
      <c r="AT37" s="156">
        <f t="shared" si="15"/>
        <v>-45407242.942488648</v>
      </c>
      <c r="AU37" s="156">
        <f t="shared" si="15"/>
        <v>-45461794.657626599</v>
      </c>
      <c r="AV37" s="156">
        <f t="shared" si="15"/>
        <v>-45250180.484462127</v>
      </c>
      <c r="AW37" s="156">
        <f t="shared" si="15"/>
        <v>-44733182.670998968</v>
      </c>
      <c r="AX37" s="156">
        <f t="shared" si="15"/>
        <v>-45446117.532196805</v>
      </c>
      <c r="AY37" s="156">
        <f t="shared" si="15"/>
        <v>-45821288.817342684</v>
      </c>
      <c r="AZ37" s="156">
        <f t="shared" si="15"/>
        <v>-45525466.651365303</v>
      </c>
      <c r="BA37" s="156">
        <f t="shared" si="15"/>
        <v>-45398293.659193367</v>
      </c>
      <c r="BB37" s="156">
        <f t="shared" si="15"/>
        <v>-44871620.872736365</v>
      </c>
      <c r="BC37" s="156">
        <f t="shared" si="15"/>
        <v>-43709489.102961451</v>
      </c>
      <c r="BD37" s="156">
        <f t="shared" si="15"/>
        <v>-42878167.101294525</v>
      </c>
      <c r="BE37" s="156">
        <f t="shared" si="15"/>
        <v>-41914268.179415695</v>
      </c>
      <c r="BF37" s="156">
        <f t="shared" si="15"/>
        <v>-40549124.18020159</v>
      </c>
      <c r="BG37" s="156">
        <f t="shared" si="15"/>
        <v>-39505254.292685062</v>
      </c>
      <c r="BH37" s="156">
        <f t="shared" si="15"/>
        <v>-38343426.609742746</v>
      </c>
      <c r="BI37" s="156">
        <f t="shared" si="15"/>
        <v>-36930662.190381184</v>
      </c>
      <c r="BJ37" s="156">
        <f t="shared" si="15"/>
        <v>-37571207.100379951</v>
      </c>
      <c r="BK37" s="156">
        <f t="shared" si="15"/>
        <v>-38057267.714667752</v>
      </c>
      <c r="BL37" s="156">
        <f t="shared" si="15"/>
        <v>-37962812.001014277</v>
      </c>
      <c r="BM37" s="156">
        <f t="shared" si="15"/>
        <v>-38372336.335239425</v>
      </c>
      <c r="BN37" s="156">
        <f t="shared" si="15"/>
        <v>-38543748.624466546</v>
      </c>
      <c r="BO37" s="156">
        <f t="shared" si="15"/>
        <v>-38290498.491735041</v>
      </c>
      <c r="BP37" s="156">
        <f t="shared" si="15"/>
        <v>-38375847.531668261</v>
      </c>
      <c r="BQ37" s="156">
        <f t="shared" si="15"/>
        <v>-38296002.119194925</v>
      </c>
      <c r="BR37" s="156">
        <f t="shared" si="15"/>
        <v>-37762879.784477778</v>
      </c>
      <c r="BS37" s="156">
        <f t="shared" si="15"/>
        <v>-37591027.340943649</v>
      </c>
      <c r="BT37" s="156">
        <f t="shared" si="15"/>
        <v>-37252651.163521253</v>
      </c>
      <c r="BU37" s="11"/>
      <c r="BV37" s="156">
        <f t="shared" si="15"/>
        <v>-12511033.530599702</v>
      </c>
      <c r="BW37" s="156">
        <f t="shared" si="15"/>
        <v>-34261593.648461677</v>
      </c>
      <c r="BX37" s="156">
        <f t="shared" si="15"/>
        <v>-45250180.484462127</v>
      </c>
      <c r="BY37" s="156">
        <f t="shared" si="15"/>
        <v>-38343426.609742746</v>
      </c>
      <c r="BZ37" s="156">
        <f t="shared" ref="BZ37" si="16">BZ28+BZ35</f>
        <v>-37252651.163521253</v>
      </c>
    </row>
    <row r="38" spans="1:78" x14ac:dyDescent="0.3">
      <c r="A38" s="174" t="s">
        <v>226</v>
      </c>
      <c r="B38" s="174"/>
      <c r="C38" s="174"/>
      <c r="D38" s="174"/>
      <c r="E38" s="174"/>
      <c r="F38" s="174"/>
      <c r="G38" s="30"/>
      <c r="H38" s="30"/>
      <c r="I38" s="30"/>
      <c r="J38" s="30"/>
      <c r="K38" s="30"/>
      <c r="M38" s="72">
        <f>M37-M20</f>
        <v>440000</v>
      </c>
      <c r="N38" s="72">
        <f t="shared" ref="N38:BY38" si="17">N37-N20</f>
        <v>400000</v>
      </c>
      <c r="O38" s="72">
        <f t="shared" si="17"/>
        <v>360000</v>
      </c>
      <c r="P38" s="72">
        <f t="shared" si="17"/>
        <v>540000</v>
      </c>
      <c r="Q38" s="72">
        <f t="shared" si="17"/>
        <v>480000.00000000047</v>
      </c>
      <c r="R38" s="72">
        <f t="shared" si="17"/>
        <v>420000</v>
      </c>
      <c r="S38" s="72">
        <f t="shared" si="17"/>
        <v>1130000</v>
      </c>
      <c r="T38" s="72">
        <f t="shared" si="17"/>
        <v>1000000</v>
      </c>
      <c r="U38" s="72">
        <f t="shared" si="17"/>
        <v>870000</v>
      </c>
      <c r="V38" s="72">
        <f t="shared" si="17"/>
        <v>1400000</v>
      </c>
      <c r="W38" s="72">
        <f t="shared" si="17"/>
        <v>1210000</v>
      </c>
      <c r="X38" s="72">
        <f t="shared" si="17"/>
        <v>1020000</v>
      </c>
      <c r="Y38" s="72">
        <f t="shared" si="17"/>
        <v>1486000</v>
      </c>
      <c r="Z38" s="72">
        <f t="shared" si="17"/>
        <v>1279999.9999999981</v>
      </c>
      <c r="AA38" s="72">
        <f t="shared" si="17"/>
        <v>1074000</v>
      </c>
      <c r="AB38" s="72">
        <f t="shared" si="17"/>
        <v>1460000</v>
      </c>
      <c r="AC38" s="72">
        <f t="shared" si="17"/>
        <v>1222000</v>
      </c>
      <c r="AD38" s="72">
        <f t="shared" si="17"/>
        <v>984000</v>
      </c>
      <c r="AE38" s="72">
        <f t="shared" si="17"/>
        <v>4226000</v>
      </c>
      <c r="AF38" s="72">
        <f t="shared" si="17"/>
        <v>3748000</v>
      </c>
      <c r="AG38" s="72">
        <f t="shared" si="17"/>
        <v>3270000</v>
      </c>
      <c r="AH38" s="72">
        <f t="shared" si="17"/>
        <v>3930000</v>
      </c>
      <c r="AI38" s="72">
        <f t="shared" si="17"/>
        <v>3413999.9999999963</v>
      </c>
      <c r="AJ38" s="72">
        <f t="shared" si="17"/>
        <v>2897999.9999999925</v>
      </c>
      <c r="AK38" s="72">
        <f t="shared" si="17"/>
        <v>3031999.9999999925</v>
      </c>
      <c r="AL38" s="72">
        <f t="shared" si="17"/>
        <v>2517999.9999999925</v>
      </c>
      <c r="AM38" s="72">
        <f t="shared" si="17"/>
        <v>2003999.9999999925</v>
      </c>
      <c r="AN38" s="72">
        <f t="shared" si="17"/>
        <v>2025999.9999999925</v>
      </c>
      <c r="AO38" s="72">
        <f t="shared" si="17"/>
        <v>1519999.9999999925</v>
      </c>
      <c r="AP38" s="72">
        <f t="shared" si="17"/>
        <v>1013999.9999999925</v>
      </c>
      <c r="AQ38" s="72">
        <f t="shared" si="17"/>
        <v>3523999.9999999925</v>
      </c>
      <c r="AR38" s="72">
        <f t="shared" si="17"/>
        <v>3081999.9999999925</v>
      </c>
      <c r="AS38" s="72">
        <f t="shared" si="17"/>
        <v>2639999.9999999925</v>
      </c>
      <c r="AT38" s="72">
        <f t="shared" si="17"/>
        <v>2911999.9999999925</v>
      </c>
      <c r="AU38" s="72">
        <f t="shared" si="17"/>
        <v>2511999.9999999925</v>
      </c>
      <c r="AV38" s="72">
        <f t="shared" si="17"/>
        <v>2111999.9999999925</v>
      </c>
      <c r="AW38" s="72">
        <f t="shared" si="17"/>
        <v>3261999.9999999925</v>
      </c>
      <c r="AX38" s="72">
        <f t="shared" si="17"/>
        <v>2779999.9999999851</v>
      </c>
      <c r="AY38" s="72">
        <f t="shared" si="17"/>
        <v>2297999.9999999851</v>
      </c>
      <c r="AZ38" s="72">
        <f t="shared" si="17"/>
        <v>2321999.9999999851</v>
      </c>
      <c r="BA38" s="72">
        <f t="shared" si="17"/>
        <v>1841999.9999999851</v>
      </c>
      <c r="BB38" s="72">
        <f t="shared" si="17"/>
        <v>1361999.9999999851</v>
      </c>
      <c r="BC38" s="72">
        <f t="shared" si="17"/>
        <v>1611999.9999999851</v>
      </c>
      <c r="BD38" s="72">
        <f t="shared" si="17"/>
        <v>1333999.9999999851</v>
      </c>
      <c r="BE38" s="72">
        <f t="shared" si="17"/>
        <v>1055999.9999999851</v>
      </c>
      <c r="BF38" s="72">
        <f t="shared" si="17"/>
        <v>1295999.9999999851</v>
      </c>
      <c r="BG38" s="72">
        <f t="shared" si="17"/>
        <v>1031999.9999999851</v>
      </c>
      <c r="BH38" s="72">
        <f t="shared" si="17"/>
        <v>767999.9999999851</v>
      </c>
      <c r="BI38" s="72">
        <f t="shared" si="17"/>
        <v>2663999.9999999851</v>
      </c>
      <c r="BJ38" s="72">
        <f t="shared" si="17"/>
        <v>2351999.9999999851</v>
      </c>
      <c r="BK38" s="72">
        <f t="shared" si="17"/>
        <v>2039999.9999999851</v>
      </c>
      <c r="BL38" s="72">
        <f t="shared" si="17"/>
        <v>2385999.9999999851</v>
      </c>
      <c r="BM38" s="72">
        <f t="shared" si="17"/>
        <v>2059999.9999999851</v>
      </c>
      <c r="BN38" s="72">
        <f t="shared" si="17"/>
        <v>1733999.9999999851</v>
      </c>
      <c r="BO38" s="72">
        <f t="shared" si="17"/>
        <v>1913999.9999999851</v>
      </c>
      <c r="BP38" s="72">
        <f t="shared" si="17"/>
        <v>1589999.9999999851</v>
      </c>
      <c r="BQ38" s="72">
        <f t="shared" si="17"/>
        <v>1265999.9999999851</v>
      </c>
      <c r="BR38" s="72">
        <f t="shared" si="17"/>
        <v>1467999.9999999851</v>
      </c>
      <c r="BS38" s="72">
        <f t="shared" si="17"/>
        <v>1141999.9999999851</v>
      </c>
      <c r="BT38" s="72">
        <f t="shared" si="17"/>
        <v>815999.9999999851</v>
      </c>
      <c r="BU38" s="11"/>
      <c r="BV38" s="72">
        <f t="shared" si="17"/>
        <v>1020000</v>
      </c>
      <c r="BW38" s="72">
        <f t="shared" si="17"/>
        <v>2897999.9999999925</v>
      </c>
      <c r="BX38" s="72">
        <f t="shared" si="17"/>
        <v>2111999.9999999925</v>
      </c>
      <c r="BY38" s="72">
        <f t="shared" si="17"/>
        <v>767999.9999999851</v>
      </c>
      <c r="BZ38" s="72">
        <f t="shared" ref="BZ38" si="18">BZ37-BZ20</f>
        <v>815999.9999999851</v>
      </c>
    </row>
  </sheetData>
  <mergeCells count="2">
    <mergeCell ref="M2:BT2"/>
    <mergeCell ref="BV2:B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C04B-4DCA-0D46-96F3-3D0E0C831B3F}">
  <dimension ref="A1:BZ47"/>
  <sheetViews>
    <sheetView showGridLines="0" zoomScale="125" zoomScaleNormal="55" workbookViewId="0">
      <pane xSplit="12" ySplit="4" topLeftCell="AN44" activePane="bottomRight" state="frozen"/>
      <selection pane="topRight" activeCell="M1" sqref="M1"/>
      <selection pane="bottomLeft" activeCell="A5" sqref="A5"/>
      <selection pane="bottomRight" activeCell="AN41" sqref="AN41"/>
    </sheetView>
  </sheetViews>
  <sheetFormatPr defaultColWidth="11.19921875" defaultRowHeight="15.6" x14ac:dyDescent="0.3"/>
  <cols>
    <col min="2" max="2" width="10.69921875" customWidth="1"/>
    <col min="3" max="3" width="7.69921875" customWidth="1"/>
    <col min="4" max="4" width="19.796875" customWidth="1"/>
    <col min="5" max="12" width="2" customWidth="1"/>
    <col min="13" max="18" width="12.69921875" bestFit="1" customWidth="1"/>
    <col min="19" max="30" width="13.69921875" bestFit="1" customWidth="1"/>
    <col min="31" max="31" width="15.796875" bestFit="1" customWidth="1"/>
    <col min="32" max="69" width="13.69921875" bestFit="1" customWidth="1"/>
    <col min="70" max="72" width="15.19921875" bestFit="1" customWidth="1"/>
  </cols>
  <sheetData>
    <row r="1" spans="1:78" ht="21" x14ac:dyDescent="0.4">
      <c r="A1" s="1" t="s">
        <v>84</v>
      </c>
      <c r="B1" s="1"/>
      <c r="C1" s="2"/>
      <c r="D1" s="3"/>
      <c r="E1" s="3"/>
      <c r="F1" s="3"/>
      <c r="G1" s="3"/>
      <c r="H1" s="3"/>
      <c r="I1" s="3"/>
      <c r="J1" s="4"/>
      <c r="K1" s="3"/>
      <c r="L1" s="3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16.2" thickBot="1" x14ac:dyDescent="0.35">
      <c r="A2" s="7" t="s">
        <v>0</v>
      </c>
      <c r="B2" s="7"/>
      <c r="C2" s="2"/>
      <c r="D2" s="3"/>
      <c r="E2" s="3"/>
      <c r="F2" s="3"/>
      <c r="G2" s="3"/>
      <c r="H2" s="3"/>
      <c r="I2" s="3"/>
      <c r="J2" s="4"/>
      <c r="K2" s="3"/>
      <c r="L2" s="3"/>
      <c r="M2" s="270" t="s">
        <v>1</v>
      </c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3"/>
      <c r="BV2" s="270" t="s">
        <v>2</v>
      </c>
      <c r="BW2" s="270"/>
      <c r="BX2" s="270"/>
      <c r="BY2" s="270"/>
      <c r="BZ2" s="270"/>
    </row>
    <row r="3" spans="1:78" x14ac:dyDescent="0.3">
      <c r="A3" s="8" t="s">
        <v>3</v>
      </c>
      <c r="B3" s="9"/>
      <c r="C3" s="9"/>
      <c r="D3" s="10"/>
      <c r="E3" s="10"/>
      <c r="F3" s="10"/>
      <c r="G3" s="10"/>
      <c r="H3" s="10"/>
      <c r="I3" s="10"/>
      <c r="J3" s="3"/>
      <c r="K3" s="3"/>
      <c r="L3" s="3"/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f>X3+1</f>
        <v>2</v>
      </c>
      <c r="Z3" s="19">
        <f>Y3</f>
        <v>2</v>
      </c>
      <c r="AA3" s="19">
        <f t="shared" ref="AA3:AJ3" si="0">Z3</f>
        <v>2</v>
      </c>
      <c r="AB3" s="19">
        <f t="shared" si="0"/>
        <v>2</v>
      </c>
      <c r="AC3" s="19">
        <f t="shared" si="0"/>
        <v>2</v>
      </c>
      <c r="AD3" s="19">
        <f t="shared" si="0"/>
        <v>2</v>
      </c>
      <c r="AE3" s="19">
        <f t="shared" si="0"/>
        <v>2</v>
      </c>
      <c r="AF3" s="19">
        <f t="shared" si="0"/>
        <v>2</v>
      </c>
      <c r="AG3" s="19">
        <f t="shared" si="0"/>
        <v>2</v>
      </c>
      <c r="AH3" s="19">
        <f t="shared" si="0"/>
        <v>2</v>
      </c>
      <c r="AI3" s="19">
        <f t="shared" si="0"/>
        <v>2</v>
      </c>
      <c r="AJ3" s="19">
        <f t="shared" si="0"/>
        <v>2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4</v>
      </c>
      <c r="AX3" s="19">
        <v>4</v>
      </c>
      <c r="AY3" s="19">
        <v>4</v>
      </c>
      <c r="AZ3" s="19">
        <v>4</v>
      </c>
      <c r="BA3" s="19">
        <v>4</v>
      </c>
      <c r="BB3" s="19">
        <v>4</v>
      </c>
      <c r="BC3" s="19">
        <v>4</v>
      </c>
      <c r="BD3" s="19">
        <v>4</v>
      </c>
      <c r="BE3" s="19">
        <v>4</v>
      </c>
      <c r="BF3" s="19">
        <v>4</v>
      </c>
      <c r="BG3" s="19">
        <v>4</v>
      </c>
      <c r="BH3" s="19">
        <v>4</v>
      </c>
      <c r="BI3" s="19">
        <v>5</v>
      </c>
      <c r="BJ3" s="19">
        <v>5</v>
      </c>
      <c r="BK3" s="19">
        <v>5</v>
      </c>
      <c r="BL3" s="19">
        <v>5</v>
      </c>
      <c r="BM3" s="19">
        <v>5</v>
      </c>
      <c r="BN3" s="19">
        <v>5</v>
      </c>
      <c r="BO3" s="19">
        <v>5</v>
      </c>
      <c r="BP3" s="19">
        <v>5</v>
      </c>
      <c r="BQ3" s="19">
        <v>5</v>
      </c>
      <c r="BR3" s="19">
        <v>5</v>
      </c>
      <c r="BS3" s="19">
        <v>5</v>
      </c>
      <c r="BT3" s="19">
        <v>5</v>
      </c>
      <c r="BU3" s="11"/>
      <c r="BV3" s="21">
        <v>1</v>
      </c>
      <c r="BW3" s="21">
        <v>2</v>
      </c>
      <c r="BX3" s="21">
        <v>3</v>
      </c>
      <c r="BY3" s="21">
        <v>4</v>
      </c>
      <c r="BZ3" s="21">
        <v>5</v>
      </c>
    </row>
    <row r="4" spans="1:78" x14ac:dyDescent="0.3">
      <c r="A4" s="12" t="s">
        <v>4</v>
      </c>
      <c r="B4" s="13"/>
      <c r="C4" s="9"/>
      <c r="D4" s="10"/>
      <c r="E4" s="3"/>
      <c r="F4" s="3"/>
      <c r="G4" s="3"/>
      <c r="H4" s="3"/>
      <c r="I4" s="3"/>
      <c r="J4" s="3"/>
      <c r="K4" s="3"/>
      <c r="L4" s="3"/>
      <c r="M4" s="20">
        <v>1</v>
      </c>
      <c r="N4" s="20">
        <f>M4+1</f>
        <v>2</v>
      </c>
      <c r="O4" s="20">
        <f t="shared" ref="O4:BT4" si="1">N4+1</f>
        <v>3</v>
      </c>
      <c r="P4" s="20">
        <f t="shared" si="1"/>
        <v>4</v>
      </c>
      <c r="Q4" s="20">
        <f t="shared" si="1"/>
        <v>5</v>
      </c>
      <c r="R4" s="20">
        <f t="shared" si="1"/>
        <v>6</v>
      </c>
      <c r="S4" s="20">
        <f t="shared" si="1"/>
        <v>7</v>
      </c>
      <c r="T4" s="20">
        <f t="shared" si="1"/>
        <v>8</v>
      </c>
      <c r="U4" s="20">
        <f t="shared" si="1"/>
        <v>9</v>
      </c>
      <c r="V4" s="20">
        <f t="shared" si="1"/>
        <v>10</v>
      </c>
      <c r="W4" s="20">
        <f t="shared" si="1"/>
        <v>11</v>
      </c>
      <c r="X4" s="20">
        <f t="shared" si="1"/>
        <v>12</v>
      </c>
      <c r="Y4" s="20">
        <f t="shared" si="1"/>
        <v>13</v>
      </c>
      <c r="Z4" s="20">
        <f t="shared" si="1"/>
        <v>14</v>
      </c>
      <c r="AA4" s="20">
        <f t="shared" si="1"/>
        <v>15</v>
      </c>
      <c r="AB4" s="20">
        <f t="shared" si="1"/>
        <v>16</v>
      </c>
      <c r="AC4" s="20">
        <f t="shared" si="1"/>
        <v>17</v>
      </c>
      <c r="AD4" s="20">
        <f t="shared" si="1"/>
        <v>18</v>
      </c>
      <c r="AE4" s="20">
        <f t="shared" si="1"/>
        <v>19</v>
      </c>
      <c r="AF4" s="20">
        <f t="shared" si="1"/>
        <v>20</v>
      </c>
      <c r="AG4" s="20">
        <f t="shared" si="1"/>
        <v>21</v>
      </c>
      <c r="AH4" s="20">
        <f t="shared" si="1"/>
        <v>22</v>
      </c>
      <c r="AI4" s="20">
        <f t="shared" si="1"/>
        <v>23</v>
      </c>
      <c r="AJ4" s="20">
        <f t="shared" si="1"/>
        <v>24</v>
      </c>
      <c r="AK4" s="20">
        <f t="shared" si="1"/>
        <v>25</v>
      </c>
      <c r="AL4" s="20">
        <f t="shared" si="1"/>
        <v>26</v>
      </c>
      <c r="AM4" s="20">
        <f t="shared" si="1"/>
        <v>27</v>
      </c>
      <c r="AN4" s="20">
        <f t="shared" si="1"/>
        <v>28</v>
      </c>
      <c r="AO4" s="20">
        <f t="shared" si="1"/>
        <v>29</v>
      </c>
      <c r="AP4" s="20">
        <f t="shared" si="1"/>
        <v>30</v>
      </c>
      <c r="AQ4" s="20">
        <f t="shared" si="1"/>
        <v>31</v>
      </c>
      <c r="AR4" s="20">
        <f t="shared" si="1"/>
        <v>32</v>
      </c>
      <c r="AS4" s="20">
        <f t="shared" si="1"/>
        <v>33</v>
      </c>
      <c r="AT4" s="20">
        <f t="shared" si="1"/>
        <v>34</v>
      </c>
      <c r="AU4" s="20">
        <f t="shared" si="1"/>
        <v>35</v>
      </c>
      <c r="AV4" s="20">
        <f t="shared" si="1"/>
        <v>36</v>
      </c>
      <c r="AW4" s="20">
        <f t="shared" si="1"/>
        <v>37</v>
      </c>
      <c r="AX4" s="20">
        <f t="shared" si="1"/>
        <v>38</v>
      </c>
      <c r="AY4" s="20">
        <f t="shared" si="1"/>
        <v>39</v>
      </c>
      <c r="AZ4" s="20">
        <f t="shared" si="1"/>
        <v>40</v>
      </c>
      <c r="BA4" s="20">
        <f t="shared" si="1"/>
        <v>41</v>
      </c>
      <c r="BB4" s="20">
        <f t="shared" si="1"/>
        <v>42</v>
      </c>
      <c r="BC4" s="20">
        <f t="shared" si="1"/>
        <v>43</v>
      </c>
      <c r="BD4" s="20">
        <f t="shared" si="1"/>
        <v>44</v>
      </c>
      <c r="BE4" s="20">
        <f t="shared" si="1"/>
        <v>45</v>
      </c>
      <c r="BF4" s="20">
        <f t="shared" si="1"/>
        <v>46</v>
      </c>
      <c r="BG4" s="20">
        <f t="shared" si="1"/>
        <v>47</v>
      </c>
      <c r="BH4" s="20">
        <f t="shared" si="1"/>
        <v>48</v>
      </c>
      <c r="BI4" s="20">
        <f t="shared" si="1"/>
        <v>49</v>
      </c>
      <c r="BJ4" s="20">
        <f t="shared" si="1"/>
        <v>50</v>
      </c>
      <c r="BK4" s="20">
        <f t="shared" si="1"/>
        <v>51</v>
      </c>
      <c r="BL4" s="20">
        <f t="shared" si="1"/>
        <v>52</v>
      </c>
      <c r="BM4" s="20">
        <f t="shared" si="1"/>
        <v>53</v>
      </c>
      <c r="BN4" s="20">
        <f t="shared" si="1"/>
        <v>54</v>
      </c>
      <c r="BO4" s="20">
        <f t="shared" si="1"/>
        <v>55</v>
      </c>
      <c r="BP4" s="20">
        <f t="shared" si="1"/>
        <v>56</v>
      </c>
      <c r="BQ4" s="20">
        <f t="shared" si="1"/>
        <v>57</v>
      </c>
      <c r="BR4" s="20">
        <f t="shared" si="1"/>
        <v>58</v>
      </c>
      <c r="BS4" s="20">
        <f t="shared" si="1"/>
        <v>59</v>
      </c>
      <c r="BT4" s="20">
        <f t="shared" si="1"/>
        <v>60</v>
      </c>
      <c r="BU4" s="11"/>
      <c r="BV4" s="20">
        <v>12</v>
      </c>
      <c r="BW4" s="20">
        <v>24</v>
      </c>
      <c r="BX4" s="20">
        <v>36</v>
      </c>
      <c r="BY4" s="20">
        <v>48</v>
      </c>
      <c r="BZ4" s="20">
        <v>60</v>
      </c>
    </row>
    <row r="5" spans="1:78" x14ac:dyDescent="0.3">
      <c r="A5" s="175" t="s">
        <v>227</v>
      </c>
      <c r="B5" s="176"/>
      <c r="C5" s="176"/>
      <c r="D5" s="176"/>
      <c r="E5" s="176"/>
      <c r="F5" s="177"/>
      <c r="G5" s="178"/>
      <c r="H5" s="178"/>
      <c r="I5" s="30"/>
      <c r="J5" s="30"/>
      <c r="K5" s="30"/>
      <c r="BU5" s="11"/>
      <c r="BV5" s="24"/>
      <c r="BW5" s="24"/>
      <c r="BX5" s="24"/>
      <c r="BY5" s="24"/>
      <c r="BZ5" s="24"/>
    </row>
    <row r="6" spans="1:78" x14ac:dyDescent="0.3">
      <c r="A6" s="84"/>
      <c r="B6" s="84" t="s">
        <v>228</v>
      </c>
      <c r="C6" s="30"/>
      <c r="D6" s="179"/>
      <c r="E6" s="179"/>
      <c r="F6" s="180"/>
      <c r="G6" s="30"/>
      <c r="H6" s="30"/>
      <c r="I6" s="164"/>
      <c r="J6" s="164"/>
      <c r="K6" s="164"/>
      <c r="L6" s="124"/>
      <c r="M6" s="24">
        <f>IS!M36</f>
        <v>-877780</v>
      </c>
      <c r="N6" s="24">
        <f>IS!N36</f>
        <v>-849487.80172854231</v>
      </c>
      <c r="O6" s="24">
        <f>IS!O36</f>
        <v>-821195.60345708486</v>
      </c>
      <c r="P6" s="24">
        <f>IS!P36</f>
        <v>-959658.18638215598</v>
      </c>
      <c r="Q6" s="24">
        <f>IS!Q36</f>
        <v>-960623.95677157969</v>
      </c>
      <c r="R6" s="24">
        <f>IS!R36</f>
        <v>-912434.94596447458</v>
      </c>
      <c r="S6" s="24">
        <f>IS!S36</f>
        <v>-1408084.1847296001</v>
      </c>
      <c r="T6" s="24">
        <f>IS!T36</f>
        <v>-1290101.5488512004</v>
      </c>
      <c r="U6" s="24">
        <f>IS!U36</f>
        <v>-1221531.6628302103</v>
      </c>
      <c r="V6" s="24">
        <f>IS!V36</f>
        <v>-1554793.6514527453</v>
      </c>
      <c r="W6" s="24">
        <f>IS!W36</f>
        <v>-1426533.3278248135</v>
      </c>
      <c r="X6" s="24">
        <f>IS!X36</f>
        <v>-1248808.6606072956</v>
      </c>
      <c r="Y6" s="24">
        <f>IS!Y36</f>
        <v>-1866097.8668925832</v>
      </c>
      <c r="Z6" s="24">
        <f>IS!Z36</f>
        <v>-1672734.3558002985</v>
      </c>
      <c r="AA6" s="24">
        <f>IS!AA36</f>
        <v>-1533093.1569584818</v>
      </c>
      <c r="AB6" s="24">
        <f>IS!AB36</f>
        <v>-1586615.145581017</v>
      </c>
      <c r="AC6" s="24">
        <f>IS!AC36</f>
        <v>-1415180.3216679054</v>
      </c>
      <c r="AD6" s="24">
        <f>IS!AD36</f>
        <v>-1189971.5917721493</v>
      </c>
      <c r="AE6" s="24">
        <f>IS!AE36</f>
        <v>-3233921.8567431597</v>
      </c>
      <c r="AF6" s="24">
        <f>IS!AF36</f>
        <v>-2823518.9074735725</v>
      </c>
      <c r="AG6" s="24">
        <f>IS!AG36</f>
        <v>-2413219.1456683394</v>
      </c>
      <c r="AH6" s="24">
        <f>IS!AH36</f>
        <v>-2394629.5080788615</v>
      </c>
      <c r="AI6" s="24">
        <f>IS!AI36</f>
        <v>-1946639.3086666861</v>
      </c>
      <c r="AJ6" s="24">
        <f>IS!AJ36</f>
        <v>-1552938.9525589161</v>
      </c>
      <c r="AK6" s="24">
        <f>IS!AK36</f>
        <v>-2593884.2175299255</v>
      </c>
      <c r="AL6" s="24">
        <f>IS!AL36</f>
        <v>-2153171.1115647461</v>
      </c>
      <c r="AM6" s="24">
        <f>IS!AM36</f>
        <v>-1712561.1930639194</v>
      </c>
      <c r="AN6" s="24">
        <f>IS!AN36</f>
        <v>-1555685.5235649627</v>
      </c>
      <c r="AO6" s="24">
        <f>IS!AO36</f>
        <v>-1123385.1674571941</v>
      </c>
      <c r="AP6" s="24">
        <f>IS!AP36</f>
        <v>-691187.9988137763</v>
      </c>
      <c r="AQ6" s="24">
        <f>IS!AQ36</f>
        <v>-817717.45353057794</v>
      </c>
      <c r="AR6" s="24">
        <f>IS!AR36</f>
        <v>-449881.44101239461</v>
      </c>
      <c r="AS6" s="24">
        <f>IS!AS36</f>
        <v>-82148.615958563983</v>
      </c>
      <c r="AT6" s="24">
        <f>IS!AT36</f>
        <v>19973.428469097242</v>
      </c>
      <c r="AU6" s="24">
        <f>IS!AU36</f>
        <v>345448.28486204706</v>
      </c>
      <c r="AV6" s="24">
        <f>IS!AV36</f>
        <v>611614.17316447385</v>
      </c>
      <c r="AW6" s="24">
        <f>IS!AW36</f>
        <v>-633002.18653684109</v>
      </c>
      <c r="AX6" s="24">
        <f>IS!AX36</f>
        <v>-230934.86119783297</v>
      </c>
      <c r="AY6" s="24">
        <f>IS!AY36</f>
        <v>106828.71485412493</v>
      </c>
      <c r="AZ6" s="24">
        <f>IS!AZ36</f>
        <v>271822.16597738117</v>
      </c>
      <c r="BA6" s="24">
        <f>IS!BA36</f>
        <v>607172.99217193201</v>
      </c>
      <c r="BB6" s="24">
        <f>IS!BB36</f>
        <v>1006672.7864570022</v>
      </c>
      <c r="BC6" s="24">
        <f>IS!BC36</f>
        <v>912131.76977491379</v>
      </c>
      <c r="BD6" s="24">
        <f>IS!BD36</f>
        <v>1109322.0016669277</v>
      </c>
      <c r="BE6" s="24">
        <f>IS!BE36</f>
        <v>1241898.9218788315</v>
      </c>
      <c r="BF6" s="24">
        <f>IS!BF36</f>
        <v>1125143.9992141016</v>
      </c>
      <c r="BG6" s="24">
        <f>IS!BG36</f>
        <v>1307869.8875165265</v>
      </c>
      <c r="BH6" s="24">
        <f>IS!BH36</f>
        <v>1425827.6829423159</v>
      </c>
      <c r="BI6" s="24">
        <f>IS!BI36</f>
        <v>-483235.58063844219</v>
      </c>
      <c r="BJ6" s="24">
        <f>IS!BJ36</f>
        <v>-328544.90999876894</v>
      </c>
      <c r="BK6" s="24">
        <f>IS!BK36</f>
        <v>-174060.61428779922</v>
      </c>
      <c r="BL6" s="24">
        <f>IS!BL36</f>
        <v>-251544.28634652495</v>
      </c>
      <c r="BM6" s="24">
        <f>IS!BM36</f>
        <v>-83524.334225144237</v>
      </c>
      <c r="BN6" s="24">
        <f>IS!BN36</f>
        <v>154587.71077287756</v>
      </c>
      <c r="BO6" s="24">
        <f>IS!BO36</f>
        <v>73250.132731508464</v>
      </c>
      <c r="BP6" s="24">
        <f>IS!BP36</f>
        <v>238650.96006677672</v>
      </c>
      <c r="BQ6" s="24">
        <f>IS!BQ36</f>
        <v>403845.41247333772</v>
      </c>
      <c r="BR6" s="24">
        <f>IS!BR36</f>
        <v>331122.33471714891</v>
      </c>
      <c r="BS6" s="24">
        <f>IS!BS36</f>
        <v>497852.44353412464</v>
      </c>
      <c r="BT6" s="24">
        <f>IS!BT36</f>
        <v>664376.17742239684</v>
      </c>
      <c r="BU6" s="11"/>
      <c r="BV6" s="24">
        <f>SUMIF($M$3:$BT$3,BV$3,$M6:$BT6)</f>
        <v>-13531033.530599702</v>
      </c>
      <c r="BW6" s="24">
        <f t="shared" ref="BW6:BY8" si="2">SUMIF($M$3:$BT$3,BW$3,$M6:$BT6)</f>
        <v>-23628560.117861971</v>
      </c>
      <c r="BX6" s="24">
        <f t="shared" si="2"/>
        <v>-10202586.836000441</v>
      </c>
      <c r="BY6" s="24">
        <f t="shared" si="2"/>
        <v>8250753.8747193832</v>
      </c>
      <c r="BZ6" s="24">
        <f>SUMIF($M$3:$BT$3,BZ$3,$M6:$BT6)</f>
        <v>1042775.4462214913</v>
      </c>
    </row>
    <row r="7" spans="1:78" x14ac:dyDescent="0.3">
      <c r="A7" s="84"/>
      <c r="B7" s="84"/>
      <c r="C7" s="30"/>
      <c r="D7" s="30"/>
      <c r="E7" s="30"/>
      <c r="F7" s="180"/>
      <c r="G7" s="30"/>
      <c r="H7" s="30"/>
      <c r="I7" s="30"/>
      <c r="J7" s="30"/>
      <c r="K7" s="30"/>
      <c r="BU7" s="11"/>
      <c r="BV7" s="24"/>
      <c r="BW7" s="24"/>
      <c r="BX7" s="24"/>
      <c r="BY7" s="24"/>
      <c r="BZ7" s="24"/>
    </row>
    <row r="8" spans="1:78" x14ac:dyDescent="0.3">
      <c r="A8" s="84" t="s">
        <v>176</v>
      </c>
      <c r="B8" s="84" t="s">
        <v>229</v>
      </c>
      <c r="C8" s="30"/>
      <c r="D8" s="30"/>
      <c r="E8" s="30"/>
      <c r="F8" s="180"/>
      <c r="G8" s="30"/>
      <c r="H8" s="30"/>
      <c r="I8" s="30"/>
      <c r="J8" s="30"/>
      <c r="K8" s="30"/>
      <c r="M8" s="24">
        <f>'[1]P&amp;L'!M32</f>
        <v>0</v>
      </c>
      <c r="N8" s="24">
        <f>'[1]P&amp;L'!N32</f>
        <v>0</v>
      </c>
      <c r="O8" s="24">
        <f>'[1]P&amp;L'!O32</f>
        <v>0</v>
      </c>
      <c r="P8" s="24">
        <f>'[1]P&amp;L'!P32</f>
        <v>0</v>
      </c>
      <c r="Q8" s="24">
        <f>'[1]P&amp;L'!Q32</f>
        <v>0</v>
      </c>
      <c r="R8" s="24">
        <f>'[1]P&amp;L'!R32</f>
        <v>0</v>
      </c>
      <c r="S8" s="24">
        <f>'[1]P&amp;L'!S32</f>
        <v>0</v>
      </c>
      <c r="T8" s="24">
        <f>'[1]P&amp;L'!T32</f>
        <v>0</v>
      </c>
      <c r="U8" s="24">
        <f>'[1]P&amp;L'!U32</f>
        <v>0</v>
      </c>
      <c r="V8" s="24">
        <f>'[1]P&amp;L'!V32</f>
        <v>0</v>
      </c>
      <c r="W8" s="24">
        <f>'[1]P&amp;L'!W32</f>
        <v>0</v>
      </c>
      <c r="X8" s="24">
        <f>'[1]P&amp;L'!X32</f>
        <v>0</v>
      </c>
      <c r="Y8" s="24">
        <f>'[1]P&amp;L'!Y32</f>
        <v>0</v>
      </c>
      <c r="Z8" s="24">
        <f>'[1]P&amp;L'!Z32</f>
        <v>0</v>
      </c>
      <c r="AA8" s="24">
        <f>'[1]P&amp;L'!AA32</f>
        <v>0</v>
      </c>
      <c r="AB8" s="24">
        <f>'[1]P&amp;L'!AB32</f>
        <v>0</v>
      </c>
      <c r="AC8" s="24">
        <f>'[1]P&amp;L'!AC32</f>
        <v>0</v>
      </c>
      <c r="AD8" s="24">
        <f>'[1]P&amp;L'!AD32</f>
        <v>0</v>
      </c>
      <c r="AE8" s="24">
        <f>'[1]P&amp;L'!AE32</f>
        <v>0</v>
      </c>
      <c r="AF8" s="24">
        <f>'[1]P&amp;L'!AF32</f>
        <v>0</v>
      </c>
      <c r="AG8" s="24">
        <f>'[1]P&amp;L'!AG32</f>
        <v>0</v>
      </c>
      <c r="AH8" s="24">
        <f>'[1]P&amp;L'!AH32</f>
        <v>0</v>
      </c>
      <c r="AI8" s="24">
        <f>'[1]P&amp;L'!AI32</f>
        <v>0</v>
      </c>
      <c r="AJ8" s="24">
        <f>'[1]P&amp;L'!AJ32</f>
        <v>0</v>
      </c>
      <c r="AK8" s="24">
        <f>'[1]P&amp;L'!AK32</f>
        <v>0</v>
      </c>
      <c r="AL8" s="24">
        <f>'[1]P&amp;L'!AL32</f>
        <v>0</v>
      </c>
      <c r="AM8" s="24">
        <f>'[1]P&amp;L'!AM32</f>
        <v>0</v>
      </c>
      <c r="AN8" s="24">
        <f>'[1]P&amp;L'!AN32</f>
        <v>0</v>
      </c>
      <c r="AO8" s="24">
        <f>'[1]P&amp;L'!AO32</f>
        <v>0</v>
      </c>
      <c r="AP8" s="24">
        <f>'[1]P&amp;L'!AP32</f>
        <v>0</v>
      </c>
      <c r="AQ8" s="24">
        <f>'[1]P&amp;L'!AQ32</f>
        <v>0</v>
      </c>
      <c r="AR8" s="24">
        <f>'[1]P&amp;L'!AR32</f>
        <v>0</v>
      </c>
      <c r="AS8" s="24">
        <f>'[1]P&amp;L'!AS32</f>
        <v>0</v>
      </c>
      <c r="AT8" s="24">
        <f>'[1]P&amp;L'!AT32</f>
        <v>0</v>
      </c>
      <c r="AU8" s="24">
        <f>'[1]P&amp;L'!AU32</f>
        <v>0</v>
      </c>
      <c r="AV8" s="24">
        <f>'[1]P&amp;L'!AV32</f>
        <v>0</v>
      </c>
      <c r="AW8" s="24">
        <f>'[1]P&amp;L'!AW32</f>
        <v>0</v>
      </c>
      <c r="AX8" s="24">
        <f>'[1]P&amp;L'!AX32</f>
        <v>0</v>
      </c>
      <c r="AY8" s="24">
        <f>'[1]P&amp;L'!AY32</f>
        <v>0</v>
      </c>
      <c r="AZ8" s="24">
        <f>'[1]P&amp;L'!AZ32</f>
        <v>0</v>
      </c>
      <c r="BA8" s="24">
        <f>'[1]P&amp;L'!BA32</f>
        <v>0</v>
      </c>
      <c r="BB8" s="24">
        <f>'[1]P&amp;L'!BB32</f>
        <v>0</v>
      </c>
      <c r="BC8" s="24">
        <f>'[1]P&amp;L'!BC32</f>
        <v>0</v>
      </c>
      <c r="BD8" s="24">
        <f>'[1]P&amp;L'!BD32</f>
        <v>0</v>
      </c>
      <c r="BE8" s="24">
        <f>'[1]P&amp;L'!BE32</f>
        <v>0</v>
      </c>
      <c r="BF8" s="24">
        <f>'[1]P&amp;L'!BF32</f>
        <v>0</v>
      </c>
      <c r="BG8" s="24">
        <f>'[1]P&amp;L'!BG32</f>
        <v>0</v>
      </c>
      <c r="BH8" s="24">
        <f>'[1]P&amp;L'!BH32</f>
        <v>0</v>
      </c>
      <c r="BI8" s="24">
        <f>'[1]P&amp;L'!BI32</f>
        <v>0</v>
      </c>
      <c r="BJ8" s="24">
        <f>'[1]P&amp;L'!BJ32</f>
        <v>0</v>
      </c>
      <c r="BK8" s="24">
        <f>'[1]P&amp;L'!BK32</f>
        <v>0</v>
      </c>
      <c r="BL8" s="24">
        <f>'[1]P&amp;L'!BL32</f>
        <v>0</v>
      </c>
      <c r="BM8" s="24">
        <f>'[1]P&amp;L'!BM32</f>
        <v>0</v>
      </c>
      <c r="BN8" s="24">
        <f>'[1]P&amp;L'!BN32</f>
        <v>0</v>
      </c>
      <c r="BO8" s="24">
        <f>'[1]P&amp;L'!BO32</f>
        <v>0</v>
      </c>
      <c r="BP8" s="24">
        <f>'[1]P&amp;L'!BP32</f>
        <v>0</v>
      </c>
      <c r="BQ8" s="24">
        <f>'[1]P&amp;L'!BQ32</f>
        <v>0</v>
      </c>
      <c r="BR8" s="24">
        <f>'[1]P&amp;L'!BR32</f>
        <v>0</v>
      </c>
      <c r="BS8" s="24">
        <f>'[1]P&amp;L'!BS32</f>
        <v>0</v>
      </c>
      <c r="BT8" s="24">
        <f>'[1]P&amp;L'!BT32</f>
        <v>0</v>
      </c>
      <c r="BU8" s="11"/>
      <c r="BV8" s="24">
        <f>SUMIF($M$3:$BT$3,BV$3,$M8:$BT8)</f>
        <v>0</v>
      </c>
      <c r="BW8" s="24">
        <f t="shared" si="2"/>
        <v>0</v>
      </c>
      <c r="BX8" s="24">
        <f t="shared" si="2"/>
        <v>0</v>
      </c>
      <c r="BY8" s="24">
        <f t="shared" si="2"/>
        <v>0</v>
      </c>
      <c r="BZ8" s="24">
        <f>SUMIF($M$3:$BT$3,BZ$3,$M8:$BT8)</f>
        <v>0</v>
      </c>
    </row>
    <row r="9" spans="1:78" x14ac:dyDescent="0.3">
      <c r="A9" s="84" t="s">
        <v>176</v>
      </c>
      <c r="B9" s="84" t="s">
        <v>230</v>
      </c>
      <c r="C9" s="30"/>
      <c r="D9" s="30"/>
      <c r="E9" s="30"/>
      <c r="F9" s="180"/>
      <c r="G9" s="30"/>
      <c r="H9" s="30"/>
      <c r="I9" s="30"/>
      <c r="J9" s="30"/>
      <c r="K9" s="30"/>
      <c r="BU9" s="11"/>
      <c r="BV9" s="24"/>
      <c r="BW9" s="24"/>
      <c r="BX9" s="24"/>
      <c r="BY9" s="24"/>
      <c r="BZ9" s="24"/>
    </row>
    <row r="10" spans="1:78" x14ac:dyDescent="0.3">
      <c r="A10" s="84" t="s">
        <v>176</v>
      </c>
      <c r="B10" s="84" t="s">
        <v>231</v>
      </c>
      <c r="C10" s="84"/>
      <c r="D10" s="84"/>
      <c r="E10" s="84"/>
      <c r="F10" s="30"/>
      <c r="G10" s="30"/>
      <c r="H10" s="30"/>
      <c r="I10" s="30"/>
      <c r="J10" s="30"/>
      <c r="K10" s="30"/>
      <c r="BU10" s="11"/>
      <c r="BV10" s="24"/>
      <c r="BW10" s="24"/>
      <c r="BX10" s="24"/>
      <c r="BY10" s="24"/>
      <c r="BZ10" s="24"/>
    </row>
    <row r="11" spans="1:78" x14ac:dyDescent="0.3">
      <c r="A11" s="84" t="s">
        <v>176</v>
      </c>
      <c r="B11" s="84" t="s">
        <v>232</v>
      </c>
      <c r="C11" s="84"/>
      <c r="D11" s="84"/>
      <c r="E11" s="84"/>
      <c r="F11" s="181"/>
      <c r="G11" s="30"/>
      <c r="H11" s="30"/>
      <c r="I11" s="30"/>
      <c r="J11" s="30"/>
      <c r="K11" s="30"/>
      <c r="BU11" s="11"/>
      <c r="BV11" s="24"/>
      <c r="BW11" s="24"/>
      <c r="BX11" s="24"/>
      <c r="BY11" s="24"/>
      <c r="BZ11" s="24"/>
    </row>
    <row r="12" spans="1:78" x14ac:dyDescent="0.3">
      <c r="A12" s="84" t="s">
        <v>176</v>
      </c>
      <c r="B12" s="84" t="s">
        <v>233</v>
      </c>
      <c r="C12" s="84"/>
      <c r="D12" s="84"/>
      <c r="E12" s="84"/>
      <c r="F12" s="181"/>
      <c r="G12" s="30"/>
      <c r="H12" s="30"/>
      <c r="I12" s="30"/>
      <c r="J12" s="30"/>
      <c r="K12" s="30"/>
      <c r="BU12" s="11"/>
      <c r="BV12" s="24"/>
      <c r="BW12" s="24"/>
      <c r="BX12" s="24"/>
      <c r="BY12" s="24"/>
      <c r="BZ12" s="24"/>
    </row>
    <row r="13" spans="1:78" x14ac:dyDescent="0.3">
      <c r="A13" s="84" t="s">
        <v>176</v>
      </c>
      <c r="B13" s="84" t="s">
        <v>234</v>
      </c>
      <c r="C13" s="84"/>
      <c r="D13" s="84"/>
      <c r="E13" s="84"/>
      <c r="F13" s="181"/>
      <c r="G13" s="30"/>
      <c r="H13" s="30"/>
      <c r="I13" s="30"/>
      <c r="J13" s="30"/>
      <c r="K13" s="30"/>
      <c r="BU13" s="11"/>
      <c r="BV13" s="24"/>
      <c r="BW13" s="24"/>
      <c r="BX13" s="24"/>
      <c r="BY13" s="24"/>
      <c r="BZ13" s="24"/>
    </row>
    <row r="14" spans="1:78" x14ac:dyDescent="0.3">
      <c r="A14" s="85"/>
      <c r="B14" s="137" t="s">
        <v>235</v>
      </c>
      <c r="C14" s="137"/>
      <c r="D14" s="137"/>
      <c r="E14" s="137"/>
      <c r="F14" s="182"/>
      <c r="G14" s="164"/>
      <c r="H14" s="164"/>
      <c r="I14" s="164"/>
      <c r="J14" s="164"/>
      <c r="K14" s="164"/>
      <c r="L14" s="124"/>
      <c r="M14" s="75">
        <f>SUM(M6:M13)</f>
        <v>-877780</v>
      </c>
      <c r="N14" s="75">
        <f t="shared" ref="N14:BY14" si="3">SUM(N6:N13)</f>
        <v>-849487.80172854231</v>
      </c>
      <c r="O14" s="75">
        <f t="shared" si="3"/>
        <v>-821195.60345708486</v>
      </c>
      <c r="P14" s="75">
        <f t="shared" si="3"/>
        <v>-959658.18638215598</v>
      </c>
      <c r="Q14" s="75">
        <f t="shared" si="3"/>
        <v>-960623.95677157969</v>
      </c>
      <c r="R14" s="75">
        <f t="shared" si="3"/>
        <v>-912434.94596447458</v>
      </c>
      <c r="S14" s="75">
        <f t="shared" si="3"/>
        <v>-1408084.1847296001</v>
      </c>
      <c r="T14" s="75">
        <f t="shared" si="3"/>
        <v>-1290101.5488512004</v>
      </c>
      <c r="U14" s="75">
        <f t="shared" si="3"/>
        <v>-1221531.6628302103</v>
      </c>
      <c r="V14" s="75">
        <f t="shared" si="3"/>
        <v>-1554793.6514527453</v>
      </c>
      <c r="W14" s="75">
        <f t="shared" si="3"/>
        <v>-1426533.3278248135</v>
      </c>
      <c r="X14" s="75">
        <f t="shared" si="3"/>
        <v>-1248808.6606072956</v>
      </c>
      <c r="Y14" s="75">
        <f t="shared" si="3"/>
        <v>-1866097.8668925832</v>
      </c>
      <c r="Z14" s="75">
        <f t="shared" si="3"/>
        <v>-1672734.3558002985</v>
      </c>
      <c r="AA14" s="75">
        <f t="shared" si="3"/>
        <v>-1533093.1569584818</v>
      </c>
      <c r="AB14" s="75">
        <f t="shared" si="3"/>
        <v>-1586615.145581017</v>
      </c>
      <c r="AC14" s="75">
        <f t="shared" si="3"/>
        <v>-1415180.3216679054</v>
      </c>
      <c r="AD14" s="75">
        <f t="shared" si="3"/>
        <v>-1189971.5917721493</v>
      </c>
      <c r="AE14" s="75">
        <f t="shared" si="3"/>
        <v>-3233921.8567431597</v>
      </c>
      <c r="AF14" s="75">
        <f t="shared" si="3"/>
        <v>-2823518.9074735725</v>
      </c>
      <c r="AG14" s="75">
        <f t="shared" si="3"/>
        <v>-2413219.1456683394</v>
      </c>
      <c r="AH14" s="75">
        <f t="shared" si="3"/>
        <v>-2394629.5080788615</v>
      </c>
      <c r="AI14" s="75">
        <f t="shared" si="3"/>
        <v>-1946639.3086666861</v>
      </c>
      <c r="AJ14" s="75">
        <f t="shared" si="3"/>
        <v>-1552938.9525589161</v>
      </c>
      <c r="AK14" s="75">
        <f t="shared" si="3"/>
        <v>-2593884.2175299255</v>
      </c>
      <c r="AL14" s="75">
        <f t="shared" si="3"/>
        <v>-2153171.1115647461</v>
      </c>
      <c r="AM14" s="75">
        <f t="shared" si="3"/>
        <v>-1712561.1930639194</v>
      </c>
      <c r="AN14" s="75">
        <f t="shared" si="3"/>
        <v>-1555685.5235649627</v>
      </c>
      <c r="AO14" s="75">
        <f t="shared" si="3"/>
        <v>-1123385.1674571941</v>
      </c>
      <c r="AP14" s="75">
        <f t="shared" si="3"/>
        <v>-691187.9988137763</v>
      </c>
      <c r="AQ14" s="75">
        <f t="shared" si="3"/>
        <v>-817717.45353057794</v>
      </c>
      <c r="AR14" s="75">
        <f t="shared" si="3"/>
        <v>-449881.44101239461</v>
      </c>
      <c r="AS14" s="75">
        <f t="shared" si="3"/>
        <v>-82148.615958563983</v>
      </c>
      <c r="AT14" s="75">
        <f t="shared" si="3"/>
        <v>19973.428469097242</v>
      </c>
      <c r="AU14" s="75">
        <f t="shared" si="3"/>
        <v>345448.28486204706</v>
      </c>
      <c r="AV14" s="75">
        <f t="shared" si="3"/>
        <v>611614.17316447385</v>
      </c>
      <c r="AW14" s="75">
        <f t="shared" si="3"/>
        <v>-633002.18653684109</v>
      </c>
      <c r="AX14" s="75">
        <f t="shared" si="3"/>
        <v>-230934.86119783297</v>
      </c>
      <c r="AY14" s="75">
        <f t="shared" si="3"/>
        <v>106828.71485412493</v>
      </c>
      <c r="AZ14" s="75">
        <f t="shared" si="3"/>
        <v>271822.16597738117</v>
      </c>
      <c r="BA14" s="75">
        <f t="shared" si="3"/>
        <v>607172.99217193201</v>
      </c>
      <c r="BB14" s="75">
        <f t="shared" si="3"/>
        <v>1006672.7864570022</v>
      </c>
      <c r="BC14" s="75">
        <f t="shared" si="3"/>
        <v>912131.76977491379</v>
      </c>
      <c r="BD14" s="75">
        <f t="shared" si="3"/>
        <v>1109322.0016669277</v>
      </c>
      <c r="BE14" s="75">
        <f t="shared" si="3"/>
        <v>1241898.9218788315</v>
      </c>
      <c r="BF14" s="75">
        <f t="shared" si="3"/>
        <v>1125143.9992141016</v>
      </c>
      <c r="BG14" s="75">
        <f t="shared" si="3"/>
        <v>1307869.8875165265</v>
      </c>
      <c r="BH14" s="75">
        <f t="shared" si="3"/>
        <v>1425827.6829423159</v>
      </c>
      <c r="BI14" s="75">
        <f t="shared" si="3"/>
        <v>-483235.58063844219</v>
      </c>
      <c r="BJ14" s="75">
        <f t="shared" si="3"/>
        <v>-328544.90999876894</v>
      </c>
      <c r="BK14" s="75">
        <f t="shared" si="3"/>
        <v>-174060.61428779922</v>
      </c>
      <c r="BL14" s="75">
        <f t="shared" si="3"/>
        <v>-251544.28634652495</v>
      </c>
      <c r="BM14" s="75">
        <f t="shared" si="3"/>
        <v>-83524.334225144237</v>
      </c>
      <c r="BN14" s="75">
        <f t="shared" si="3"/>
        <v>154587.71077287756</v>
      </c>
      <c r="BO14" s="75">
        <f t="shared" si="3"/>
        <v>73250.132731508464</v>
      </c>
      <c r="BP14" s="75">
        <f t="shared" si="3"/>
        <v>238650.96006677672</v>
      </c>
      <c r="BQ14" s="75">
        <f t="shared" si="3"/>
        <v>403845.41247333772</v>
      </c>
      <c r="BR14" s="75">
        <f t="shared" si="3"/>
        <v>331122.33471714891</v>
      </c>
      <c r="BS14" s="75">
        <f t="shared" si="3"/>
        <v>497852.44353412464</v>
      </c>
      <c r="BT14" s="75">
        <f t="shared" si="3"/>
        <v>664376.17742239684</v>
      </c>
      <c r="BU14" s="11"/>
      <c r="BV14" s="78">
        <f t="shared" si="3"/>
        <v>-13531033.530599702</v>
      </c>
      <c r="BW14" s="78">
        <f t="shared" si="3"/>
        <v>-23628560.117861971</v>
      </c>
      <c r="BX14" s="78">
        <f t="shared" si="3"/>
        <v>-10202586.836000441</v>
      </c>
      <c r="BY14" s="78">
        <f t="shared" si="3"/>
        <v>8250753.8747193832</v>
      </c>
      <c r="BZ14" s="78">
        <f t="shared" ref="BZ14" si="4">SUM(BZ6:BZ13)</f>
        <v>1042775.4462214913</v>
      </c>
    </row>
    <row r="15" spans="1:78" x14ac:dyDescent="0.3">
      <c r="A15" s="84" t="s">
        <v>236</v>
      </c>
      <c r="B15" s="30"/>
      <c r="C15" s="84"/>
      <c r="D15" s="84"/>
      <c r="E15" s="84"/>
      <c r="F15" s="183"/>
      <c r="G15" s="30"/>
      <c r="H15" s="30"/>
      <c r="I15" s="30"/>
      <c r="J15" s="30"/>
      <c r="K15" s="30"/>
      <c r="M15" s="72">
        <f>SUM(M16:M19,M21:M23)</f>
        <v>440000</v>
      </c>
      <c r="N15" s="72">
        <f t="shared" ref="N15:BT15" si="5">SUM(N16:N19,N21:N23)</f>
        <v>-40000</v>
      </c>
      <c r="O15" s="72">
        <f t="shared" si="5"/>
        <v>-40000</v>
      </c>
      <c r="P15" s="72">
        <f t="shared" si="5"/>
        <v>180000</v>
      </c>
      <c r="Q15" s="72">
        <f t="shared" si="5"/>
        <v>-60000</v>
      </c>
      <c r="R15" s="72">
        <f t="shared" si="5"/>
        <v>-60000</v>
      </c>
      <c r="S15" s="72">
        <f t="shared" si="5"/>
        <v>710000</v>
      </c>
      <c r="T15" s="72">
        <f t="shared" si="5"/>
        <v>-130000</v>
      </c>
      <c r="U15" s="72">
        <f t="shared" si="5"/>
        <v>-130000</v>
      </c>
      <c r="V15" s="72">
        <f t="shared" si="5"/>
        <v>530000</v>
      </c>
      <c r="W15" s="72">
        <f t="shared" si="5"/>
        <v>-190000</v>
      </c>
      <c r="X15" s="72">
        <f t="shared" si="5"/>
        <v>-190000</v>
      </c>
      <c r="Y15" s="72">
        <f t="shared" si="5"/>
        <v>466000</v>
      </c>
      <c r="Z15" s="72">
        <f t="shared" si="5"/>
        <v>-206000</v>
      </c>
      <c r="AA15" s="72">
        <f t="shared" si="5"/>
        <v>-206000</v>
      </c>
      <c r="AB15" s="72">
        <f t="shared" si="5"/>
        <v>386000</v>
      </c>
      <c r="AC15" s="72">
        <f t="shared" si="5"/>
        <v>-238000</v>
      </c>
      <c r="AD15" s="72">
        <f t="shared" si="5"/>
        <v>-238000</v>
      </c>
      <c r="AE15" s="72">
        <f t="shared" si="5"/>
        <v>3242000</v>
      </c>
      <c r="AF15" s="72">
        <f t="shared" si="5"/>
        <v>-478000</v>
      </c>
      <c r="AG15" s="72">
        <f t="shared" si="5"/>
        <v>-478000</v>
      </c>
      <c r="AH15" s="72">
        <f t="shared" si="5"/>
        <v>660000</v>
      </c>
      <c r="AI15" s="72">
        <f t="shared" si="5"/>
        <v>-516000</v>
      </c>
      <c r="AJ15" s="72">
        <f t="shared" si="5"/>
        <v>-516000</v>
      </c>
      <c r="AK15" s="72">
        <f t="shared" si="5"/>
        <v>134000</v>
      </c>
      <c r="AL15" s="72">
        <f t="shared" si="5"/>
        <v>-514000</v>
      </c>
      <c r="AM15" s="72">
        <f t="shared" si="5"/>
        <v>-514000</v>
      </c>
      <c r="AN15" s="72">
        <f t="shared" si="5"/>
        <v>22000</v>
      </c>
      <c r="AO15" s="72">
        <f t="shared" si="5"/>
        <v>-506000</v>
      </c>
      <c r="AP15" s="72">
        <f t="shared" si="5"/>
        <v>-506000</v>
      </c>
      <c r="AQ15" s="72">
        <f t="shared" si="5"/>
        <v>2510000</v>
      </c>
      <c r="AR15" s="72">
        <f t="shared" si="5"/>
        <v>-442000</v>
      </c>
      <c r="AS15" s="72">
        <f t="shared" si="5"/>
        <v>-442000</v>
      </c>
      <c r="AT15" s="72">
        <f t="shared" si="5"/>
        <v>272000</v>
      </c>
      <c r="AU15" s="72">
        <f t="shared" si="5"/>
        <v>-400000</v>
      </c>
      <c r="AV15" s="72">
        <f t="shared" si="5"/>
        <v>-400000</v>
      </c>
      <c r="AW15" s="72">
        <f t="shared" si="5"/>
        <v>1150000</v>
      </c>
      <c r="AX15" s="72">
        <f t="shared" si="5"/>
        <v>-482000</v>
      </c>
      <c r="AY15" s="72">
        <f t="shared" si="5"/>
        <v>-482000</v>
      </c>
      <c r="AZ15" s="72">
        <f t="shared" si="5"/>
        <v>24000</v>
      </c>
      <c r="BA15" s="72">
        <f t="shared" si="5"/>
        <v>-480000</v>
      </c>
      <c r="BB15" s="72">
        <f t="shared" si="5"/>
        <v>-480000</v>
      </c>
      <c r="BC15" s="72">
        <f t="shared" si="5"/>
        <v>250000</v>
      </c>
      <c r="BD15" s="72">
        <f t="shared" si="5"/>
        <v>-278000</v>
      </c>
      <c r="BE15" s="72">
        <f t="shared" si="5"/>
        <v>-278000</v>
      </c>
      <c r="BF15" s="72">
        <f t="shared" si="5"/>
        <v>240000</v>
      </c>
      <c r="BG15" s="72">
        <f t="shared" si="5"/>
        <v>-264000</v>
      </c>
      <c r="BH15" s="72">
        <f t="shared" si="5"/>
        <v>-264000</v>
      </c>
      <c r="BI15" s="72">
        <f t="shared" si="5"/>
        <v>1896000</v>
      </c>
      <c r="BJ15" s="72">
        <f t="shared" si="5"/>
        <v>-312000</v>
      </c>
      <c r="BK15" s="72">
        <f t="shared" si="5"/>
        <v>-312000</v>
      </c>
      <c r="BL15" s="72">
        <f t="shared" si="5"/>
        <v>346000</v>
      </c>
      <c r="BM15" s="72">
        <f t="shared" si="5"/>
        <v>-326000</v>
      </c>
      <c r="BN15" s="72">
        <f t="shared" si="5"/>
        <v>-326000</v>
      </c>
      <c r="BO15" s="72">
        <f t="shared" si="5"/>
        <v>180000</v>
      </c>
      <c r="BP15" s="72">
        <f t="shared" si="5"/>
        <v>-324000</v>
      </c>
      <c r="BQ15" s="72">
        <f t="shared" si="5"/>
        <v>-324000</v>
      </c>
      <c r="BR15" s="72">
        <f t="shared" si="5"/>
        <v>202000</v>
      </c>
      <c r="BS15" s="72">
        <f t="shared" si="5"/>
        <v>-326000</v>
      </c>
      <c r="BT15" s="72">
        <f t="shared" si="5"/>
        <v>-326000</v>
      </c>
      <c r="BU15" s="11"/>
      <c r="BV15" s="24">
        <f>SUMIF($M$3:$BT$3,BV$3,$M15:$BT15)</f>
        <v>1020000</v>
      </c>
      <c r="BW15" s="24">
        <f t="shared" ref="BW15:BZ23" si="6">SUMIF($M$3:$BT$3,BW$3,$M15:$BT15)</f>
        <v>1878000</v>
      </c>
      <c r="BX15" s="24">
        <f t="shared" si="6"/>
        <v>-786000</v>
      </c>
      <c r="BY15" s="24">
        <f t="shared" si="6"/>
        <v>-1344000</v>
      </c>
      <c r="BZ15" s="24">
        <f>SUMIF($M$3:$BT$3,BZ$3,$M15:$BT15)</f>
        <v>48000</v>
      </c>
    </row>
    <row r="16" spans="1:78" x14ac:dyDescent="0.3">
      <c r="A16" s="184" t="s">
        <v>178</v>
      </c>
      <c r="B16" s="184" t="s">
        <v>220</v>
      </c>
      <c r="C16" s="184"/>
      <c r="D16" s="84"/>
      <c r="E16" s="84"/>
      <c r="F16" s="185"/>
      <c r="G16" s="30"/>
      <c r="H16" s="30"/>
      <c r="I16" s="30"/>
      <c r="J16" s="30"/>
      <c r="K16" s="30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11"/>
      <c r="BV16" s="24">
        <f t="shared" ref="BV16:BV23" si="7">SUMIF($M$3:$BT$3,BV$3,$M16:$BT16)</f>
        <v>0</v>
      </c>
      <c r="BW16" s="24">
        <f t="shared" si="6"/>
        <v>0</v>
      </c>
      <c r="BX16" s="24">
        <f t="shared" si="6"/>
        <v>0</v>
      </c>
      <c r="BY16" s="24">
        <f t="shared" si="6"/>
        <v>0</v>
      </c>
      <c r="BZ16" s="24">
        <f t="shared" si="6"/>
        <v>0</v>
      </c>
    </row>
    <row r="17" spans="1:78" x14ac:dyDescent="0.3">
      <c r="A17" s="184" t="s">
        <v>178</v>
      </c>
      <c r="B17" s="184" t="s">
        <v>237</v>
      </c>
      <c r="C17" s="184"/>
      <c r="D17" s="184"/>
      <c r="E17" s="184"/>
      <c r="F17" s="134"/>
      <c r="G17" s="30"/>
      <c r="H17" s="30"/>
      <c r="I17" s="30"/>
      <c r="J17" s="30"/>
      <c r="K17" s="30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11"/>
      <c r="BV17" s="24">
        <f t="shared" si="7"/>
        <v>0</v>
      </c>
      <c r="BW17" s="24">
        <f t="shared" si="6"/>
        <v>0</v>
      </c>
      <c r="BX17" s="24">
        <f t="shared" si="6"/>
        <v>0</v>
      </c>
      <c r="BY17" s="24">
        <f t="shared" si="6"/>
        <v>0</v>
      </c>
      <c r="BZ17" s="24">
        <f t="shared" si="6"/>
        <v>0</v>
      </c>
    </row>
    <row r="18" spans="1:78" x14ac:dyDescent="0.3">
      <c r="A18" s="184" t="s">
        <v>178</v>
      </c>
      <c r="B18" s="184" t="s">
        <v>223</v>
      </c>
      <c r="C18" s="184"/>
      <c r="D18" s="184"/>
      <c r="E18" s="184"/>
      <c r="F18" s="186"/>
      <c r="G18" s="30"/>
      <c r="H18" s="30"/>
      <c r="I18" s="30"/>
      <c r="J18" s="30"/>
      <c r="K18" s="30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11"/>
      <c r="BV18" s="24">
        <f t="shared" si="7"/>
        <v>0</v>
      </c>
      <c r="BW18" s="24">
        <f t="shared" si="6"/>
        <v>0</v>
      </c>
      <c r="BX18" s="24">
        <f t="shared" si="6"/>
        <v>0</v>
      </c>
      <c r="BY18" s="24">
        <f t="shared" si="6"/>
        <v>0</v>
      </c>
      <c r="BZ18" s="24">
        <f t="shared" si="6"/>
        <v>0</v>
      </c>
    </row>
    <row r="19" spans="1:78" x14ac:dyDescent="0.3">
      <c r="A19" s="184" t="s">
        <v>178</v>
      </c>
      <c r="B19" s="184" t="s">
        <v>238</v>
      </c>
      <c r="C19" s="184"/>
      <c r="D19" s="184"/>
      <c r="E19" s="184"/>
      <c r="F19" s="187"/>
      <c r="G19" s="30"/>
      <c r="H19" s="30"/>
      <c r="I19" s="30"/>
      <c r="J19" s="30"/>
      <c r="K19" s="30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11"/>
      <c r="BV19" s="24">
        <f t="shared" si="7"/>
        <v>0</v>
      </c>
      <c r="BW19" s="24">
        <f t="shared" si="6"/>
        <v>0</v>
      </c>
      <c r="BX19" s="24">
        <f t="shared" si="6"/>
        <v>0</v>
      </c>
      <c r="BY19" s="24">
        <f t="shared" si="6"/>
        <v>0</v>
      </c>
      <c r="BZ19" s="24">
        <f t="shared" si="6"/>
        <v>0</v>
      </c>
    </row>
    <row r="20" spans="1:78" x14ac:dyDescent="0.3">
      <c r="A20" s="184"/>
      <c r="B20" s="184"/>
      <c r="C20" s="184"/>
      <c r="D20" s="184"/>
      <c r="E20" s="184"/>
      <c r="F20" s="186"/>
      <c r="G20" s="30"/>
      <c r="H20" s="30"/>
      <c r="I20" s="30"/>
      <c r="J20" s="30"/>
      <c r="K20" s="30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11"/>
      <c r="BV20" s="24"/>
      <c r="BW20" s="24"/>
      <c r="BX20" s="24"/>
      <c r="BY20" s="24"/>
      <c r="BZ20" s="24"/>
    </row>
    <row r="21" spans="1:78" x14ac:dyDescent="0.3">
      <c r="A21" s="84" t="s">
        <v>176</v>
      </c>
      <c r="B21" s="184" t="s">
        <v>257</v>
      </c>
      <c r="C21" s="184"/>
      <c r="D21" s="184"/>
      <c r="E21" s="184"/>
      <c r="F21" s="185"/>
      <c r="G21" s="30"/>
      <c r="H21" s="30"/>
      <c r="I21" s="30"/>
      <c r="J21" s="30"/>
      <c r="K21" s="30"/>
      <c r="M21" s="24">
        <f>BS!M15-BS!L15</f>
        <v>440000</v>
      </c>
      <c r="N21" s="24">
        <f>BS!N15-BS!M15</f>
        <v>-40000</v>
      </c>
      <c r="O21" s="24">
        <f>BS!O15-BS!N15</f>
        <v>-40000</v>
      </c>
      <c r="P21" s="24">
        <f>BS!P15-BS!O15</f>
        <v>180000</v>
      </c>
      <c r="Q21" s="24">
        <f>BS!Q15-BS!P15</f>
        <v>-60000</v>
      </c>
      <c r="R21" s="24">
        <f>BS!R15-BS!Q15</f>
        <v>-60000</v>
      </c>
      <c r="S21" s="24">
        <f>BS!S15-BS!R15</f>
        <v>710000</v>
      </c>
      <c r="T21" s="24">
        <f>BS!T15-BS!S15</f>
        <v>-130000</v>
      </c>
      <c r="U21" s="24">
        <f>BS!U15-BS!T15</f>
        <v>-130000</v>
      </c>
      <c r="V21" s="24">
        <f>BS!V15-BS!U15</f>
        <v>530000</v>
      </c>
      <c r="W21" s="24">
        <f>BS!W15-BS!V15</f>
        <v>-190000</v>
      </c>
      <c r="X21" s="24">
        <f>BS!X15-BS!W15</f>
        <v>-190000</v>
      </c>
      <c r="Y21" s="24">
        <f>BS!Y15-BS!X15</f>
        <v>466000</v>
      </c>
      <c r="Z21" s="24">
        <f>BS!Z15-BS!Y15</f>
        <v>-206000</v>
      </c>
      <c r="AA21" s="24">
        <f>BS!AA15-BS!Z15</f>
        <v>-206000</v>
      </c>
      <c r="AB21" s="24">
        <f>BS!AB15-BS!AA15</f>
        <v>386000</v>
      </c>
      <c r="AC21" s="24">
        <f>BS!AC15-BS!AB15</f>
        <v>-238000</v>
      </c>
      <c r="AD21" s="24">
        <f>BS!AD15-BS!AC15</f>
        <v>-238000</v>
      </c>
      <c r="AE21" s="24">
        <f>BS!AE15-BS!AD15</f>
        <v>3242000</v>
      </c>
      <c r="AF21" s="24">
        <f>BS!AF15-BS!AE15</f>
        <v>-478000</v>
      </c>
      <c r="AG21" s="24">
        <f>BS!AG15-BS!AF15</f>
        <v>-478000</v>
      </c>
      <c r="AH21" s="24">
        <f>BS!AH15-BS!AG15</f>
        <v>660000</v>
      </c>
      <c r="AI21" s="24">
        <f>BS!AI15-BS!AH15</f>
        <v>-516000</v>
      </c>
      <c r="AJ21" s="24">
        <f>BS!AJ15-BS!AI15</f>
        <v>-516000</v>
      </c>
      <c r="AK21" s="24">
        <f>BS!AK15-BS!AJ15</f>
        <v>134000</v>
      </c>
      <c r="AL21" s="24">
        <f>BS!AL15-BS!AK15</f>
        <v>-514000</v>
      </c>
      <c r="AM21" s="24">
        <f>BS!AM15-BS!AL15</f>
        <v>-514000</v>
      </c>
      <c r="AN21" s="24">
        <f>BS!AN15-BS!AM15</f>
        <v>22000</v>
      </c>
      <c r="AO21" s="24">
        <f>BS!AO15-BS!AN15</f>
        <v>-506000</v>
      </c>
      <c r="AP21" s="24">
        <f>BS!AP15-BS!AO15</f>
        <v>-506000</v>
      </c>
      <c r="AQ21" s="24">
        <f>BS!AQ15-BS!AP15</f>
        <v>2510000</v>
      </c>
      <c r="AR21" s="24">
        <f>BS!AR15-BS!AQ15</f>
        <v>-442000</v>
      </c>
      <c r="AS21" s="24">
        <f>BS!AS15-BS!AR15</f>
        <v>-442000</v>
      </c>
      <c r="AT21" s="24">
        <f>BS!AT15-BS!AS15</f>
        <v>272000</v>
      </c>
      <c r="AU21" s="24">
        <f>BS!AU15-BS!AT15</f>
        <v>-400000</v>
      </c>
      <c r="AV21" s="24">
        <f>BS!AV15-BS!AU15</f>
        <v>-400000</v>
      </c>
      <c r="AW21" s="24">
        <f>BS!AW15-BS!AV15</f>
        <v>1150000</v>
      </c>
      <c r="AX21" s="24">
        <f>BS!AX15-BS!AW15</f>
        <v>-482000</v>
      </c>
      <c r="AY21" s="24">
        <f>BS!AY15-BS!AX15</f>
        <v>-482000</v>
      </c>
      <c r="AZ21" s="24">
        <f>BS!AZ15-BS!AY15</f>
        <v>24000</v>
      </c>
      <c r="BA21" s="24">
        <f>BS!BA15-BS!AZ15</f>
        <v>-480000</v>
      </c>
      <c r="BB21" s="24">
        <f>BS!BB15-BS!BA15</f>
        <v>-480000</v>
      </c>
      <c r="BC21" s="24">
        <f>BS!BC15-BS!BB15</f>
        <v>250000</v>
      </c>
      <c r="BD21" s="24">
        <f>BS!BD15-BS!BC15</f>
        <v>-278000</v>
      </c>
      <c r="BE21" s="24">
        <f>BS!BE15-BS!BD15</f>
        <v>-278000</v>
      </c>
      <c r="BF21" s="24">
        <f>BS!BF15-BS!BE15</f>
        <v>240000</v>
      </c>
      <c r="BG21" s="24">
        <f>BS!BG15-BS!BF15</f>
        <v>-264000</v>
      </c>
      <c r="BH21" s="24">
        <f>BS!BH15-BS!BG15</f>
        <v>-264000</v>
      </c>
      <c r="BI21" s="24">
        <f>BS!BI15-BS!BH15</f>
        <v>1896000</v>
      </c>
      <c r="BJ21" s="24">
        <f>BS!BJ15-BS!BI15</f>
        <v>-312000</v>
      </c>
      <c r="BK21" s="24">
        <f>BS!BK15-BS!BJ15</f>
        <v>-312000</v>
      </c>
      <c r="BL21" s="24">
        <f>BS!BL15-BS!BK15</f>
        <v>346000</v>
      </c>
      <c r="BM21" s="24">
        <f>BS!BM15-BS!BL15</f>
        <v>-326000</v>
      </c>
      <c r="BN21" s="24">
        <f>BS!BN15-BS!BM15</f>
        <v>-326000</v>
      </c>
      <c r="BO21" s="24">
        <f>BS!BO15-BS!BN15</f>
        <v>180000</v>
      </c>
      <c r="BP21" s="24">
        <f>BS!BP15-BS!BO15</f>
        <v>-324000</v>
      </c>
      <c r="BQ21" s="24">
        <f>BS!BQ15-BS!BP15</f>
        <v>-324000</v>
      </c>
      <c r="BR21" s="24">
        <f>BS!BR15-BS!BQ15</f>
        <v>202000</v>
      </c>
      <c r="BS21" s="24">
        <f>BS!BS15-BS!BR15</f>
        <v>-326000</v>
      </c>
      <c r="BT21" s="24">
        <f>BS!BT15-BS!BS15</f>
        <v>-326000</v>
      </c>
      <c r="BU21" s="11"/>
      <c r="BV21" s="24">
        <f t="shared" si="7"/>
        <v>1020000</v>
      </c>
      <c r="BW21" s="24">
        <f t="shared" si="6"/>
        <v>1878000</v>
      </c>
      <c r="BX21" s="24">
        <f t="shared" si="6"/>
        <v>-786000</v>
      </c>
      <c r="BY21" s="24">
        <f t="shared" si="6"/>
        <v>-1344000</v>
      </c>
      <c r="BZ21" s="24">
        <f t="shared" si="6"/>
        <v>48000</v>
      </c>
    </row>
    <row r="22" spans="1:78" x14ac:dyDescent="0.3">
      <c r="A22" s="84" t="s">
        <v>176</v>
      </c>
      <c r="B22" s="184" t="s">
        <v>208</v>
      </c>
      <c r="C22" s="184"/>
      <c r="D22" s="184"/>
      <c r="E22" s="184"/>
      <c r="F22" s="134"/>
      <c r="G22" s="30"/>
      <c r="H22" s="30"/>
      <c r="I22" s="30"/>
      <c r="J22" s="30"/>
      <c r="K22" s="30"/>
      <c r="BU22" s="11"/>
      <c r="BV22" s="24">
        <f t="shared" si="7"/>
        <v>0</v>
      </c>
      <c r="BW22" s="24">
        <f t="shared" si="6"/>
        <v>0</v>
      </c>
      <c r="BX22" s="24">
        <f t="shared" si="6"/>
        <v>0</v>
      </c>
      <c r="BY22" s="24">
        <f t="shared" si="6"/>
        <v>0</v>
      </c>
      <c r="BZ22" s="24">
        <f t="shared" si="6"/>
        <v>0</v>
      </c>
    </row>
    <row r="23" spans="1:78" x14ac:dyDescent="0.3">
      <c r="A23" s="84" t="s">
        <v>176</v>
      </c>
      <c r="B23" s="184" t="s">
        <v>239</v>
      </c>
      <c r="C23" s="184"/>
      <c r="D23" s="184"/>
      <c r="E23" s="184"/>
      <c r="F23" s="186"/>
      <c r="G23" s="30"/>
      <c r="H23" s="30"/>
      <c r="I23" s="30"/>
      <c r="J23" s="30"/>
      <c r="K23" s="30"/>
      <c r="BU23" s="11"/>
      <c r="BV23" s="24">
        <f t="shared" si="7"/>
        <v>0</v>
      </c>
      <c r="BW23" s="24">
        <f t="shared" si="6"/>
        <v>0</v>
      </c>
      <c r="BX23" s="24">
        <f t="shared" si="6"/>
        <v>0</v>
      </c>
      <c r="BY23" s="24">
        <f t="shared" si="6"/>
        <v>0</v>
      </c>
      <c r="BZ23" s="24">
        <f t="shared" si="6"/>
        <v>0</v>
      </c>
    </row>
    <row r="24" spans="1:78" x14ac:dyDescent="0.3">
      <c r="A24" s="184"/>
      <c r="B24" s="184"/>
      <c r="C24" s="184"/>
      <c r="D24" s="184"/>
      <c r="E24" s="184"/>
      <c r="F24" s="187"/>
      <c r="G24" s="30"/>
      <c r="H24" s="30"/>
      <c r="I24" s="30"/>
      <c r="J24" s="30"/>
      <c r="K24" s="30"/>
      <c r="BU24" s="11"/>
      <c r="BV24" s="24"/>
      <c r="BW24" s="24"/>
      <c r="BX24" s="24"/>
      <c r="BY24" s="24"/>
      <c r="BZ24" s="24"/>
    </row>
    <row r="25" spans="1:78" x14ac:dyDescent="0.3">
      <c r="A25" s="206"/>
      <c r="B25" s="207" t="s">
        <v>240</v>
      </c>
      <c r="C25" s="208"/>
      <c r="D25" s="209"/>
      <c r="E25" s="209"/>
      <c r="F25" s="209"/>
      <c r="G25" s="209"/>
      <c r="H25" s="209"/>
      <c r="I25" s="209"/>
      <c r="J25" s="209"/>
      <c r="K25" s="209"/>
      <c r="L25" s="210"/>
      <c r="M25" s="211">
        <f>SUM(M14:M15)</f>
        <v>-437780</v>
      </c>
      <c r="N25" s="211">
        <f t="shared" ref="N25:BT25" si="8">SUM(N14:N15)</f>
        <v>-889487.80172854231</v>
      </c>
      <c r="O25" s="211">
        <f t="shared" si="8"/>
        <v>-861195.60345708486</v>
      </c>
      <c r="P25" s="211">
        <f t="shared" si="8"/>
        <v>-779658.18638215598</v>
      </c>
      <c r="Q25" s="211">
        <f t="shared" si="8"/>
        <v>-1020623.9567715797</v>
      </c>
      <c r="R25" s="211">
        <f t="shared" si="8"/>
        <v>-972434.94596447458</v>
      </c>
      <c r="S25" s="211">
        <f t="shared" si="8"/>
        <v>-698084.18472960009</v>
      </c>
      <c r="T25" s="211">
        <f t="shared" si="8"/>
        <v>-1420101.5488512004</v>
      </c>
      <c r="U25" s="211">
        <f t="shared" si="8"/>
        <v>-1351531.6628302103</v>
      </c>
      <c r="V25" s="211">
        <f t="shared" si="8"/>
        <v>-1024793.6514527453</v>
      </c>
      <c r="W25" s="211">
        <f t="shared" si="8"/>
        <v>-1616533.3278248135</v>
      </c>
      <c r="X25" s="211">
        <f t="shared" si="8"/>
        <v>-1438808.6606072956</v>
      </c>
      <c r="Y25" s="211">
        <f t="shared" si="8"/>
        <v>-1400097.8668925832</v>
      </c>
      <c r="Z25" s="211">
        <f t="shared" si="8"/>
        <v>-1878734.3558002985</v>
      </c>
      <c r="AA25" s="211">
        <f t="shared" si="8"/>
        <v>-1739093.1569584818</v>
      </c>
      <c r="AB25" s="211">
        <f t="shared" si="8"/>
        <v>-1200615.145581017</v>
      </c>
      <c r="AC25" s="211">
        <f t="shared" si="8"/>
        <v>-1653180.3216679054</v>
      </c>
      <c r="AD25" s="211">
        <f t="shared" si="8"/>
        <v>-1427971.5917721493</v>
      </c>
      <c r="AE25" s="211">
        <f t="shared" si="8"/>
        <v>8078.1432568402961</v>
      </c>
      <c r="AF25" s="211">
        <f t="shared" si="8"/>
        <v>-3301518.9074735725</v>
      </c>
      <c r="AG25" s="211">
        <f t="shared" si="8"/>
        <v>-2891219.1456683394</v>
      </c>
      <c r="AH25" s="211">
        <f t="shared" si="8"/>
        <v>-1734629.5080788615</v>
      </c>
      <c r="AI25" s="211">
        <f t="shared" si="8"/>
        <v>-2462639.3086666861</v>
      </c>
      <c r="AJ25" s="211">
        <f t="shared" si="8"/>
        <v>-2068938.9525589161</v>
      </c>
      <c r="AK25" s="211">
        <f t="shared" si="8"/>
        <v>-2459884.2175299255</v>
      </c>
      <c r="AL25" s="211">
        <f t="shared" si="8"/>
        <v>-2667171.1115647461</v>
      </c>
      <c r="AM25" s="211">
        <f t="shared" si="8"/>
        <v>-2226561.1930639194</v>
      </c>
      <c r="AN25" s="211">
        <f t="shared" si="8"/>
        <v>-1533685.5235649627</v>
      </c>
      <c r="AO25" s="211">
        <f t="shared" si="8"/>
        <v>-1629385.1674571941</v>
      </c>
      <c r="AP25" s="211">
        <f t="shared" si="8"/>
        <v>-1197187.9988137763</v>
      </c>
      <c r="AQ25" s="211">
        <f t="shared" si="8"/>
        <v>1692282.5464694221</v>
      </c>
      <c r="AR25" s="211">
        <f t="shared" si="8"/>
        <v>-891881.44101239461</v>
      </c>
      <c r="AS25" s="211">
        <f t="shared" si="8"/>
        <v>-524148.61595856398</v>
      </c>
      <c r="AT25" s="211">
        <f t="shared" si="8"/>
        <v>291973.42846909724</v>
      </c>
      <c r="AU25" s="211">
        <f t="shared" si="8"/>
        <v>-54551.715137952939</v>
      </c>
      <c r="AV25" s="211">
        <f t="shared" si="8"/>
        <v>211614.17316447385</v>
      </c>
      <c r="AW25" s="211">
        <f t="shared" si="8"/>
        <v>516997.81346315891</v>
      </c>
      <c r="AX25" s="211">
        <f t="shared" si="8"/>
        <v>-712934.86119783297</v>
      </c>
      <c r="AY25" s="211">
        <f t="shared" si="8"/>
        <v>-375171.28514587507</v>
      </c>
      <c r="AZ25" s="211">
        <f t="shared" si="8"/>
        <v>295822.16597738117</v>
      </c>
      <c r="BA25" s="211">
        <f t="shared" si="8"/>
        <v>127172.99217193201</v>
      </c>
      <c r="BB25" s="211">
        <f t="shared" si="8"/>
        <v>526672.78645700216</v>
      </c>
      <c r="BC25" s="211">
        <f t="shared" si="8"/>
        <v>1162131.7697749138</v>
      </c>
      <c r="BD25" s="211">
        <f t="shared" si="8"/>
        <v>831322.00166692771</v>
      </c>
      <c r="BE25" s="211">
        <f t="shared" si="8"/>
        <v>963898.92187883146</v>
      </c>
      <c r="BF25" s="211">
        <f t="shared" si="8"/>
        <v>1365143.9992141016</v>
      </c>
      <c r="BG25" s="211">
        <f t="shared" si="8"/>
        <v>1043869.8875165265</v>
      </c>
      <c r="BH25" s="211">
        <f t="shared" si="8"/>
        <v>1161827.6829423159</v>
      </c>
      <c r="BI25" s="211">
        <f t="shared" si="8"/>
        <v>1412764.4193615578</v>
      </c>
      <c r="BJ25" s="211">
        <f t="shared" si="8"/>
        <v>-640544.90999876894</v>
      </c>
      <c r="BK25" s="211">
        <f t="shared" si="8"/>
        <v>-486060.61428779922</v>
      </c>
      <c r="BL25" s="211">
        <f t="shared" si="8"/>
        <v>94455.713653475046</v>
      </c>
      <c r="BM25" s="211">
        <f t="shared" si="8"/>
        <v>-409524.33422514424</v>
      </c>
      <c r="BN25" s="211">
        <f t="shared" si="8"/>
        <v>-171412.28922712244</v>
      </c>
      <c r="BO25" s="211">
        <f t="shared" si="8"/>
        <v>253250.13273150846</v>
      </c>
      <c r="BP25" s="211">
        <f t="shared" si="8"/>
        <v>-85349.039933223277</v>
      </c>
      <c r="BQ25" s="211">
        <f t="shared" si="8"/>
        <v>79845.412473337725</v>
      </c>
      <c r="BR25" s="211">
        <f t="shared" si="8"/>
        <v>533122.33471714891</v>
      </c>
      <c r="BS25" s="211">
        <f t="shared" si="8"/>
        <v>171852.44353412464</v>
      </c>
      <c r="BT25" s="211">
        <f t="shared" si="8"/>
        <v>338376.17742239684</v>
      </c>
      <c r="BU25" s="11"/>
      <c r="BV25" s="212">
        <f t="shared" ref="BV25:BZ25" si="9">SUM(BV14,BV16:BV23)</f>
        <v>-12511033.530599702</v>
      </c>
      <c r="BW25" s="212">
        <f t="shared" si="9"/>
        <v>-21750560.117861971</v>
      </c>
      <c r="BX25" s="212">
        <f t="shared" si="9"/>
        <v>-10988586.836000441</v>
      </c>
      <c r="BY25" s="212">
        <f t="shared" si="9"/>
        <v>6906753.8747193832</v>
      </c>
      <c r="BZ25" s="212">
        <f t="shared" si="9"/>
        <v>1090775.4462214913</v>
      </c>
    </row>
    <row r="26" spans="1:78" x14ac:dyDescent="0.3">
      <c r="A26" s="30"/>
      <c r="B26" s="30"/>
      <c r="C26" s="30"/>
      <c r="D26" s="30"/>
      <c r="E26" s="30"/>
      <c r="F26" s="187"/>
      <c r="G26" s="30"/>
      <c r="H26" s="30"/>
      <c r="I26" s="30"/>
      <c r="J26" s="30"/>
      <c r="K26" s="30"/>
      <c r="BU26" s="11"/>
      <c r="BV26" s="24"/>
      <c r="BW26" s="24"/>
      <c r="BX26" s="24"/>
      <c r="BY26" s="24"/>
      <c r="BZ26" s="24"/>
    </row>
    <row r="27" spans="1:78" x14ac:dyDescent="0.3">
      <c r="A27" s="188" t="s">
        <v>241</v>
      </c>
      <c r="B27" s="189"/>
      <c r="C27" s="190"/>
      <c r="D27" s="190"/>
      <c r="E27" s="189"/>
      <c r="F27" s="185"/>
      <c r="G27" s="30"/>
      <c r="H27" s="30"/>
      <c r="I27" s="30"/>
      <c r="J27" s="30"/>
      <c r="K27" s="30"/>
      <c r="BU27" s="11"/>
      <c r="BV27" s="24"/>
      <c r="BW27" s="24"/>
      <c r="BX27" s="24"/>
      <c r="BY27" s="24"/>
      <c r="BZ27" s="24"/>
    </row>
    <row r="28" spans="1:78" x14ac:dyDescent="0.3">
      <c r="A28" s="179"/>
      <c r="B28" s="179" t="s">
        <v>242</v>
      </c>
      <c r="C28" s="179"/>
      <c r="D28" s="179"/>
      <c r="E28" s="179"/>
      <c r="F28" s="191"/>
      <c r="G28" s="164"/>
      <c r="H28" s="164"/>
      <c r="I28" s="164"/>
      <c r="J28" s="164"/>
      <c r="K28" s="164"/>
      <c r="L28" s="124"/>
      <c r="BU28" s="11"/>
      <c r="BV28" s="24">
        <f t="shared" ref="BV28:BZ29" si="10">SUMIF($M$3:$BT$3,BV$3,$M28:$BT28)</f>
        <v>0</v>
      </c>
      <c r="BW28" s="24">
        <f t="shared" si="10"/>
        <v>0</v>
      </c>
      <c r="BX28" s="24">
        <f t="shared" si="10"/>
        <v>0</v>
      </c>
      <c r="BY28" s="24">
        <f t="shared" si="10"/>
        <v>0</v>
      </c>
      <c r="BZ28" s="24">
        <f t="shared" si="10"/>
        <v>0</v>
      </c>
    </row>
    <row r="29" spans="1:78" x14ac:dyDescent="0.3">
      <c r="A29" s="84" t="s">
        <v>176</v>
      </c>
      <c r="B29" s="84" t="s">
        <v>243</v>
      </c>
      <c r="C29" s="192"/>
      <c r="D29" s="193"/>
      <c r="E29" s="193"/>
      <c r="F29" s="185"/>
      <c r="G29" s="30"/>
      <c r="H29" s="30"/>
      <c r="I29" s="30"/>
      <c r="J29" s="30"/>
      <c r="K29" s="30"/>
      <c r="BU29" s="11"/>
      <c r="BV29" s="24">
        <f t="shared" si="10"/>
        <v>0</v>
      </c>
      <c r="BW29" s="24">
        <f t="shared" si="10"/>
        <v>0</v>
      </c>
      <c r="BX29" s="24">
        <f t="shared" si="10"/>
        <v>0</v>
      </c>
      <c r="BY29" s="24">
        <f t="shared" si="10"/>
        <v>0</v>
      </c>
      <c r="BZ29" s="24">
        <f t="shared" si="10"/>
        <v>0</v>
      </c>
    </row>
    <row r="30" spans="1:78" x14ac:dyDescent="0.3">
      <c r="A30" s="84"/>
      <c r="B30" s="84"/>
      <c r="C30" s="192"/>
      <c r="D30" s="193"/>
      <c r="E30" s="193"/>
      <c r="F30" s="187"/>
      <c r="G30" s="30"/>
      <c r="H30" s="30"/>
      <c r="I30" s="30"/>
      <c r="J30" s="30"/>
      <c r="K30" s="30"/>
      <c r="BU30" s="11"/>
      <c r="BV30" s="24"/>
      <c r="BW30" s="24"/>
      <c r="BX30" s="24"/>
      <c r="BY30" s="24"/>
      <c r="BZ30" s="24"/>
    </row>
    <row r="31" spans="1:78" x14ac:dyDescent="0.3">
      <c r="A31" s="206"/>
      <c r="B31" s="207" t="s">
        <v>244</v>
      </c>
      <c r="C31" s="208"/>
      <c r="D31" s="207"/>
      <c r="E31" s="207"/>
      <c r="F31" s="213"/>
      <c r="G31" s="213"/>
      <c r="H31" s="213"/>
      <c r="I31" s="213"/>
      <c r="J31" s="213"/>
      <c r="K31" s="213"/>
      <c r="L31" s="210"/>
      <c r="M31" s="212">
        <f>SUM(M28:M29)</f>
        <v>0</v>
      </c>
      <c r="N31" s="212">
        <f t="shared" ref="N31:BY31" si="11">SUM(N28:N29)</f>
        <v>0</v>
      </c>
      <c r="O31" s="212">
        <f t="shared" si="11"/>
        <v>0</v>
      </c>
      <c r="P31" s="212">
        <f t="shared" si="11"/>
        <v>0</v>
      </c>
      <c r="Q31" s="212">
        <f t="shared" si="11"/>
        <v>0</v>
      </c>
      <c r="R31" s="212">
        <f t="shared" si="11"/>
        <v>0</v>
      </c>
      <c r="S31" s="212">
        <f t="shared" si="11"/>
        <v>0</v>
      </c>
      <c r="T31" s="212">
        <f t="shared" si="11"/>
        <v>0</v>
      </c>
      <c r="U31" s="212">
        <f t="shared" si="11"/>
        <v>0</v>
      </c>
      <c r="V31" s="212">
        <f t="shared" si="11"/>
        <v>0</v>
      </c>
      <c r="W31" s="212">
        <f t="shared" si="11"/>
        <v>0</v>
      </c>
      <c r="X31" s="212">
        <f t="shared" si="11"/>
        <v>0</v>
      </c>
      <c r="Y31" s="212">
        <f t="shared" si="11"/>
        <v>0</v>
      </c>
      <c r="Z31" s="212">
        <f t="shared" si="11"/>
        <v>0</v>
      </c>
      <c r="AA31" s="212">
        <f t="shared" si="11"/>
        <v>0</v>
      </c>
      <c r="AB31" s="212">
        <f t="shared" si="11"/>
        <v>0</v>
      </c>
      <c r="AC31" s="212">
        <f t="shared" si="11"/>
        <v>0</v>
      </c>
      <c r="AD31" s="212">
        <f t="shared" si="11"/>
        <v>0</v>
      </c>
      <c r="AE31" s="212">
        <f t="shared" si="11"/>
        <v>0</v>
      </c>
      <c r="AF31" s="212">
        <f t="shared" si="11"/>
        <v>0</v>
      </c>
      <c r="AG31" s="212">
        <f t="shared" si="11"/>
        <v>0</v>
      </c>
      <c r="AH31" s="212">
        <f t="shared" si="11"/>
        <v>0</v>
      </c>
      <c r="AI31" s="212">
        <f t="shared" si="11"/>
        <v>0</v>
      </c>
      <c r="AJ31" s="212">
        <f t="shared" si="11"/>
        <v>0</v>
      </c>
      <c r="AK31" s="212">
        <f t="shared" si="11"/>
        <v>0</v>
      </c>
      <c r="AL31" s="212">
        <f t="shared" si="11"/>
        <v>0</v>
      </c>
      <c r="AM31" s="212">
        <f t="shared" si="11"/>
        <v>0</v>
      </c>
      <c r="AN31" s="212">
        <f t="shared" si="11"/>
        <v>0</v>
      </c>
      <c r="AO31" s="212">
        <f t="shared" si="11"/>
        <v>0</v>
      </c>
      <c r="AP31" s="212">
        <f t="shared" si="11"/>
        <v>0</v>
      </c>
      <c r="AQ31" s="212">
        <f t="shared" si="11"/>
        <v>0</v>
      </c>
      <c r="AR31" s="212">
        <f t="shared" si="11"/>
        <v>0</v>
      </c>
      <c r="AS31" s="212">
        <f t="shared" si="11"/>
        <v>0</v>
      </c>
      <c r="AT31" s="212">
        <f t="shared" si="11"/>
        <v>0</v>
      </c>
      <c r="AU31" s="212">
        <f t="shared" si="11"/>
        <v>0</v>
      </c>
      <c r="AV31" s="212">
        <f t="shared" si="11"/>
        <v>0</v>
      </c>
      <c r="AW31" s="212">
        <f t="shared" si="11"/>
        <v>0</v>
      </c>
      <c r="AX31" s="212">
        <f t="shared" si="11"/>
        <v>0</v>
      </c>
      <c r="AY31" s="212">
        <f t="shared" si="11"/>
        <v>0</v>
      </c>
      <c r="AZ31" s="212">
        <f t="shared" si="11"/>
        <v>0</v>
      </c>
      <c r="BA31" s="212">
        <f t="shared" si="11"/>
        <v>0</v>
      </c>
      <c r="BB31" s="212">
        <f t="shared" si="11"/>
        <v>0</v>
      </c>
      <c r="BC31" s="212">
        <f t="shared" si="11"/>
        <v>0</v>
      </c>
      <c r="BD31" s="212">
        <f t="shared" si="11"/>
        <v>0</v>
      </c>
      <c r="BE31" s="212">
        <f t="shared" si="11"/>
        <v>0</v>
      </c>
      <c r="BF31" s="212">
        <f t="shared" si="11"/>
        <v>0</v>
      </c>
      <c r="BG31" s="212">
        <f t="shared" si="11"/>
        <v>0</v>
      </c>
      <c r="BH31" s="212">
        <f t="shared" si="11"/>
        <v>0</v>
      </c>
      <c r="BI31" s="212">
        <f t="shared" si="11"/>
        <v>0</v>
      </c>
      <c r="BJ31" s="212">
        <f t="shared" si="11"/>
        <v>0</v>
      </c>
      <c r="BK31" s="212">
        <f t="shared" si="11"/>
        <v>0</v>
      </c>
      <c r="BL31" s="212">
        <f t="shared" si="11"/>
        <v>0</v>
      </c>
      <c r="BM31" s="212">
        <f t="shared" si="11"/>
        <v>0</v>
      </c>
      <c r="BN31" s="212">
        <f t="shared" si="11"/>
        <v>0</v>
      </c>
      <c r="BO31" s="212">
        <f t="shared" si="11"/>
        <v>0</v>
      </c>
      <c r="BP31" s="212">
        <f t="shared" si="11"/>
        <v>0</v>
      </c>
      <c r="BQ31" s="212">
        <f t="shared" si="11"/>
        <v>0</v>
      </c>
      <c r="BR31" s="212">
        <f t="shared" si="11"/>
        <v>0</v>
      </c>
      <c r="BS31" s="212">
        <f t="shared" si="11"/>
        <v>0</v>
      </c>
      <c r="BT31" s="212">
        <f t="shared" si="11"/>
        <v>0</v>
      </c>
      <c r="BU31" s="11"/>
      <c r="BV31" s="212">
        <f t="shared" si="11"/>
        <v>0</v>
      </c>
      <c r="BW31" s="212">
        <f t="shared" si="11"/>
        <v>0</v>
      </c>
      <c r="BX31" s="212">
        <f t="shared" si="11"/>
        <v>0</v>
      </c>
      <c r="BY31" s="212">
        <f t="shared" si="11"/>
        <v>0</v>
      </c>
      <c r="BZ31" s="212">
        <f t="shared" ref="BZ31" si="12">SUM(BZ28:BZ29)</f>
        <v>0</v>
      </c>
    </row>
    <row r="32" spans="1:78" x14ac:dyDescent="0.3">
      <c r="A32" s="30"/>
      <c r="B32" s="30"/>
      <c r="C32" s="30"/>
      <c r="D32" s="30"/>
      <c r="E32" s="30"/>
      <c r="F32" s="134"/>
      <c r="G32" s="30"/>
      <c r="H32" s="30"/>
      <c r="I32" s="30"/>
      <c r="J32" s="30"/>
      <c r="K32" s="30"/>
      <c r="BU32" s="11"/>
      <c r="BV32" s="24"/>
      <c r="BW32" s="24"/>
      <c r="BX32" s="24"/>
      <c r="BY32" s="24"/>
      <c r="BZ32" s="24"/>
    </row>
    <row r="33" spans="1:78" x14ac:dyDescent="0.3">
      <c r="A33" s="188" t="s">
        <v>245</v>
      </c>
      <c r="B33" s="189"/>
      <c r="C33" s="189"/>
      <c r="D33" s="189"/>
      <c r="E33" s="189"/>
      <c r="F33" s="134"/>
      <c r="G33" s="30"/>
      <c r="H33" s="30"/>
      <c r="I33" s="30"/>
      <c r="J33" s="30"/>
      <c r="K33" s="30"/>
      <c r="BU33" s="11"/>
      <c r="BV33" s="24"/>
      <c r="BW33" s="24"/>
      <c r="BX33" s="24"/>
      <c r="BY33" s="24"/>
      <c r="BZ33" s="24"/>
    </row>
    <row r="34" spans="1:78" x14ac:dyDescent="0.3">
      <c r="A34" s="84" t="s">
        <v>176</v>
      </c>
      <c r="B34" s="30" t="s">
        <v>246</v>
      </c>
      <c r="C34" s="84"/>
      <c r="D34" s="84"/>
      <c r="E34" s="84"/>
      <c r="F34" s="191"/>
      <c r="G34" s="164"/>
      <c r="H34" s="164"/>
      <c r="I34" s="164"/>
      <c r="J34" s="164"/>
      <c r="K34" s="164"/>
      <c r="L34" s="124"/>
      <c r="BU34" s="11"/>
      <c r="BV34" s="24">
        <f t="shared" ref="BV34:BZ38" si="13">SUMIF($M$3:$BT$3,BV$3,$M34:$BT34)</f>
        <v>0</v>
      </c>
      <c r="BW34" s="24">
        <f t="shared" si="13"/>
        <v>0</v>
      </c>
      <c r="BX34" s="24">
        <f t="shared" si="13"/>
        <v>0</v>
      </c>
      <c r="BY34" s="24">
        <f t="shared" si="13"/>
        <v>0</v>
      </c>
      <c r="BZ34" s="24">
        <f t="shared" si="13"/>
        <v>0</v>
      </c>
    </row>
    <row r="35" spans="1:78" x14ac:dyDescent="0.3">
      <c r="A35" s="84" t="s">
        <v>176</v>
      </c>
      <c r="B35" s="30" t="s">
        <v>247</v>
      </c>
      <c r="C35" s="84"/>
      <c r="D35" s="84"/>
      <c r="E35" s="84"/>
      <c r="F35" s="134"/>
      <c r="G35" s="30"/>
      <c r="H35" s="30"/>
      <c r="I35" s="30"/>
      <c r="J35" s="30"/>
      <c r="K35" s="30"/>
      <c r="BU35" s="11"/>
      <c r="BV35" s="24">
        <f t="shared" si="13"/>
        <v>0</v>
      </c>
      <c r="BW35" s="24">
        <f t="shared" si="13"/>
        <v>0</v>
      </c>
      <c r="BX35" s="24">
        <f t="shared" si="13"/>
        <v>0</v>
      </c>
      <c r="BY35" s="24">
        <f t="shared" si="13"/>
        <v>0</v>
      </c>
      <c r="BZ35" s="24">
        <f t="shared" si="13"/>
        <v>0</v>
      </c>
    </row>
    <row r="36" spans="1:78" x14ac:dyDescent="0.3">
      <c r="A36" s="84" t="s">
        <v>178</v>
      </c>
      <c r="B36" s="84" t="s">
        <v>230</v>
      </c>
      <c r="C36" s="84"/>
      <c r="D36" s="84"/>
      <c r="E36" s="84"/>
      <c r="F36" s="134"/>
      <c r="G36" s="30"/>
      <c r="H36" s="30"/>
      <c r="I36" s="30"/>
      <c r="J36" s="30"/>
      <c r="K36" s="30"/>
      <c r="BU36" s="11"/>
      <c r="BV36" s="24">
        <f t="shared" si="13"/>
        <v>0</v>
      </c>
      <c r="BW36" s="24">
        <f t="shared" si="13"/>
        <v>0</v>
      </c>
      <c r="BX36" s="24">
        <f t="shared" si="13"/>
        <v>0</v>
      </c>
      <c r="BY36" s="24">
        <f t="shared" si="13"/>
        <v>0</v>
      </c>
      <c r="BZ36" s="24">
        <f t="shared" si="13"/>
        <v>0</v>
      </c>
    </row>
    <row r="37" spans="1:78" x14ac:dyDescent="0.3">
      <c r="A37" s="84" t="s">
        <v>176</v>
      </c>
      <c r="B37" s="84" t="s">
        <v>248</v>
      </c>
      <c r="C37" s="84"/>
      <c r="D37" s="84"/>
      <c r="E37" s="84"/>
      <c r="F37" s="134"/>
      <c r="G37" s="30"/>
      <c r="H37" s="30"/>
      <c r="I37" s="30"/>
      <c r="J37" s="30"/>
      <c r="K37" s="30"/>
      <c r="BU37" s="11"/>
      <c r="BV37" s="24">
        <f t="shared" si="13"/>
        <v>0</v>
      </c>
      <c r="BW37" s="24">
        <f t="shared" si="13"/>
        <v>0</v>
      </c>
      <c r="BX37" s="24">
        <f t="shared" si="13"/>
        <v>0</v>
      </c>
      <c r="BY37" s="24">
        <f t="shared" si="13"/>
        <v>0</v>
      </c>
      <c r="BZ37" s="24">
        <f t="shared" si="13"/>
        <v>0</v>
      </c>
    </row>
    <row r="38" spans="1:78" x14ac:dyDescent="0.3">
      <c r="A38" s="84" t="s">
        <v>176</v>
      </c>
      <c r="B38" s="84" t="s">
        <v>249</v>
      </c>
      <c r="C38" s="84"/>
      <c r="D38" s="84"/>
      <c r="E38" s="84"/>
      <c r="F38" s="134"/>
      <c r="G38" s="30"/>
      <c r="H38" s="30"/>
      <c r="I38" s="30"/>
      <c r="J38" s="30"/>
      <c r="K38" s="30"/>
      <c r="BU38" s="11"/>
      <c r="BV38" s="24">
        <f t="shared" si="13"/>
        <v>0</v>
      </c>
      <c r="BW38" s="24">
        <f t="shared" si="13"/>
        <v>0</v>
      </c>
      <c r="BX38" s="24">
        <f t="shared" si="13"/>
        <v>0</v>
      </c>
      <c r="BY38" s="24">
        <f t="shared" si="13"/>
        <v>0</v>
      </c>
      <c r="BZ38" s="24">
        <f t="shared" si="13"/>
        <v>0</v>
      </c>
    </row>
    <row r="39" spans="1:78" x14ac:dyDescent="0.3">
      <c r="A39" s="207"/>
      <c r="B39" s="207" t="s">
        <v>250</v>
      </c>
      <c r="C39" s="208"/>
      <c r="D39" s="207"/>
      <c r="E39" s="207"/>
      <c r="F39" s="213"/>
      <c r="G39" s="213"/>
      <c r="H39" s="213"/>
      <c r="I39" s="213"/>
      <c r="J39" s="213"/>
      <c r="K39" s="213"/>
      <c r="L39" s="210"/>
      <c r="M39" s="214">
        <f>SUM(M34:M38)</f>
        <v>0</v>
      </c>
      <c r="N39" s="214">
        <f t="shared" ref="N39:BY39" si="14">SUM(N34:N38)</f>
        <v>0</v>
      </c>
      <c r="O39" s="214">
        <f t="shared" si="14"/>
        <v>0</v>
      </c>
      <c r="P39" s="214">
        <f t="shared" si="14"/>
        <v>0</v>
      </c>
      <c r="Q39" s="214">
        <f t="shared" si="14"/>
        <v>0</v>
      </c>
      <c r="R39" s="214">
        <f t="shared" si="14"/>
        <v>0</v>
      </c>
      <c r="S39" s="214">
        <f t="shared" si="14"/>
        <v>0</v>
      </c>
      <c r="T39" s="214">
        <f t="shared" si="14"/>
        <v>0</v>
      </c>
      <c r="U39" s="214">
        <f t="shared" si="14"/>
        <v>0</v>
      </c>
      <c r="V39" s="214">
        <f t="shared" si="14"/>
        <v>0</v>
      </c>
      <c r="W39" s="214">
        <f t="shared" si="14"/>
        <v>0</v>
      </c>
      <c r="X39" s="214">
        <f t="shared" si="14"/>
        <v>0</v>
      </c>
      <c r="Y39" s="214">
        <f t="shared" si="14"/>
        <v>0</v>
      </c>
      <c r="Z39" s="214">
        <f t="shared" si="14"/>
        <v>0</v>
      </c>
      <c r="AA39" s="214">
        <f t="shared" si="14"/>
        <v>0</v>
      </c>
      <c r="AB39" s="214">
        <f t="shared" si="14"/>
        <v>0</v>
      </c>
      <c r="AC39" s="214">
        <f t="shared" si="14"/>
        <v>0</v>
      </c>
      <c r="AD39" s="214">
        <f t="shared" si="14"/>
        <v>0</v>
      </c>
      <c r="AE39" s="214">
        <f t="shared" si="14"/>
        <v>0</v>
      </c>
      <c r="AF39" s="214">
        <f t="shared" si="14"/>
        <v>0</v>
      </c>
      <c r="AG39" s="214">
        <f t="shared" si="14"/>
        <v>0</v>
      </c>
      <c r="AH39" s="214">
        <f t="shared" si="14"/>
        <v>0</v>
      </c>
      <c r="AI39" s="214">
        <f t="shared" si="14"/>
        <v>0</v>
      </c>
      <c r="AJ39" s="214">
        <f t="shared" si="14"/>
        <v>0</v>
      </c>
      <c r="AK39" s="214">
        <f t="shared" si="14"/>
        <v>0</v>
      </c>
      <c r="AL39" s="214">
        <f t="shared" si="14"/>
        <v>0</v>
      </c>
      <c r="AM39" s="214">
        <f t="shared" si="14"/>
        <v>0</v>
      </c>
      <c r="AN39" s="214">
        <f t="shared" si="14"/>
        <v>0</v>
      </c>
      <c r="AO39" s="214">
        <f t="shared" si="14"/>
        <v>0</v>
      </c>
      <c r="AP39" s="214">
        <f t="shared" si="14"/>
        <v>0</v>
      </c>
      <c r="AQ39" s="214">
        <f t="shared" si="14"/>
        <v>0</v>
      </c>
      <c r="AR39" s="214">
        <f t="shared" si="14"/>
        <v>0</v>
      </c>
      <c r="AS39" s="214">
        <f t="shared" si="14"/>
        <v>0</v>
      </c>
      <c r="AT39" s="214">
        <f t="shared" si="14"/>
        <v>0</v>
      </c>
      <c r="AU39" s="214">
        <f t="shared" si="14"/>
        <v>0</v>
      </c>
      <c r="AV39" s="214">
        <f t="shared" si="14"/>
        <v>0</v>
      </c>
      <c r="AW39" s="214">
        <f t="shared" si="14"/>
        <v>0</v>
      </c>
      <c r="AX39" s="214">
        <f t="shared" si="14"/>
        <v>0</v>
      </c>
      <c r="AY39" s="214">
        <f t="shared" si="14"/>
        <v>0</v>
      </c>
      <c r="AZ39" s="214">
        <f t="shared" si="14"/>
        <v>0</v>
      </c>
      <c r="BA39" s="214">
        <f t="shared" si="14"/>
        <v>0</v>
      </c>
      <c r="BB39" s="214">
        <f t="shared" si="14"/>
        <v>0</v>
      </c>
      <c r="BC39" s="214">
        <f t="shared" si="14"/>
        <v>0</v>
      </c>
      <c r="BD39" s="214">
        <f t="shared" si="14"/>
        <v>0</v>
      </c>
      <c r="BE39" s="214">
        <f t="shared" si="14"/>
        <v>0</v>
      </c>
      <c r="BF39" s="214">
        <f t="shared" si="14"/>
        <v>0</v>
      </c>
      <c r="BG39" s="214">
        <f t="shared" si="14"/>
        <v>0</v>
      </c>
      <c r="BH39" s="214">
        <f t="shared" si="14"/>
        <v>0</v>
      </c>
      <c r="BI39" s="214">
        <f t="shared" si="14"/>
        <v>0</v>
      </c>
      <c r="BJ39" s="214">
        <f t="shared" si="14"/>
        <v>0</v>
      </c>
      <c r="BK39" s="214">
        <f t="shared" si="14"/>
        <v>0</v>
      </c>
      <c r="BL39" s="214">
        <f t="shared" si="14"/>
        <v>0</v>
      </c>
      <c r="BM39" s="214">
        <f t="shared" si="14"/>
        <v>0</v>
      </c>
      <c r="BN39" s="214">
        <f t="shared" si="14"/>
        <v>0</v>
      </c>
      <c r="BO39" s="214">
        <f t="shared" si="14"/>
        <v>0</v>
      </c>
      <c r="BP39" s="214">
        <f t="shared" si="14"/>
        <v>0</v>
      </c>
      <c r="BQ39" s="214">
        <f t="shared" si="14"/>
        <v>0</v>
      </c>
      <c r="BR39" s="214">
        <f t="shared" si="14"/>
        <v>0</v>
      </c>
      <c r="BS39" s="214">
        <f t="shared" si="14"/>
        <v>0</v>
      </c>
      <c r="BT39" s="214">
        <f t="shared" si="14"/>
        <v>0</v>
      </c>
      <c r="BU39" s="11"/>
      <c r="BV39" s="212">
        <f t="shared" si="14"/>
        <v>0</v>
      </c>
      <c r="BW39" s="212">
        <f t="shared" si="14"/>
        <v>0</v>
      </c>
      <c r="BX39" s="212">
        <f t="shared" si="14"/>
        <v>0</v>
      </c>
      <c r="BY39" s="212">
        <f t="shared" si="14"/>
        <v>0</v>
      </c>
      <c r="BZ39" s="212">
        <f t="shared" ref="BZ39" si="15">SUM(BZ34:BZ38)</f>
        <v>0</v>
      </c>
    </row>
    <row r="40" spans="1:78" x14ac:dyDescent="0.3">
      <c r="A40" s="30"/>
      <c r="B40" s="30"/>
      <c r="C40" s="30"/>
      <c r="D40" s="30"/>
      <c r="E40" s="30"/>
      <c r="F40" s="134"/>
      <c r="G40" s="30"/>
      <c r="H40" s="30"/>
      <c r="I40" s="30"/>
      <c r="J40" s="30"/>
      <c r="K40" s="30"/>
      <c r="BU40" s="11"/>
      <c r="BV40" s="24"/>
      <c r="BW40" s="24"/>
      <c r="BX40" s="24"/>
      <c r="BY40" s="24"/>
      <c r="BZ40" s="24"/>
    </row>
    <row r="41" spans="1:78" x14ac:dyDescent="0.3">
      <c r="A41" s="213"/>
      <c r="B41" s="213" t="s">
        <v>251</v>
      </c>
      <c r="C41" s="213"/>
      <c r="D41" s="213"/>
      <c r="E41" s="213"/>
      <c r="F41" s="213"/>
      <c r="G41" s="213"/>
      <c r="H41" s="213"/>
      <c r="I41" s="213"/>
      <c r="J41" s="213"/>
      <c r="K41" s="213"/>
      <c r="L41" s="210"/>
      <c r="M41" s="212">
        <f>M39+M31+M25</f>
        <v>-437780</v>
      </c>
      <c r="N41" s="212">
        <f t="shared" ref="N41:BY41" si="16">N39+N31+N25</f>
        <v>-889487.80172854231</v>
      </c>
      <c r="O41" s="212">
        <f t="shared" si="16"/>
        <v>-861195.60345708486</v>
      </c>
      <c r="P41" s="212">
        <f t="shared" si="16"/>
        <v>-779658.18638215598</v>
      </c>
      <c r="Q41" s="212">
        <f t="shared" si="16"/>
        <v>-1020623.9567715797</v>
      </c>
      <c r="R41" s="212">
        <f t="shared" si="16"/>
        <v>-972434.94596447458</v>
      </c>
      <c r="S41" s="212">
        <f t="shared" si="16"/>
        <v>-698084.18472960009</v>
      </c>
      <c r="T41" s="212">
        <f t="shared" si="16"/>
        <v>-1420101.5488512004</v>
      </c>
      <c r="U41" s="212">
        <f t="shared" si="16"/>
        <v>-1351531.6628302103</v>
      </c>
      <c r="V41" s="212">
        <f t="shared" si="16"/>
        <v>-1024793.6514527453</v>
      </c>
      <c r="W41" s="212">
        <f t="shared" si="16"/>
        <v>-1616533.3278248135</v>
      </c>
      <c r="X41" s="212">
        <f t="shared" si="16"/>
        <v>-1438808.6606072956</v>
      </c>
      <c r="Y41" s="212">
        <f t="shared" si="16"/>
        <v>-1400097.8668925832</v>
      </c>
      <c r="Z41" s="212">
        <f t="shared" si="16"/>
        <v>-1878734.3558002985</v>
      </c>
      <c r="AA41" s="212">
        <f t="shared" si="16"/>
        <v>-1739093.1569584818</v>
      </c>
      <c r="AB41" s="212">
        <f t="shared" si="16"/>
        <v>-1200615.145581017</v>
      </c>
      <c r="AC41" s="212">
        <f t="shared" si="16"/>
        <v>-1653180.3216679054</v>
      </c>
      <c r="AD41" s="212">
        <f t="shared" si="16"/>
        <v>-1427971.5917721493</v>
      </c>
      <c r="AE41" s="212">
        <f t="shared" si="16"/>
        <v>8078.1432568402961</v>
      </c>
      <c r="AF41" s="212">
        <f t="shared" si="16"/>
        <v>-3301518.9074735725</v>
      </c>
      <c r="AG41" s="212">
        <f t="shared" si="16"/>
        <v>-2891219.1456683394</v>
      </c>
      <c r="AH41" s="212">
        <f t="shared" si="16"/>
        <v>-1734629.5080788615</v>
      </c>
      <c r="AI41" s="212">
        <f t="shared" si="16"/>
        <v>-2462639.3086666861</v>
      </c>
      <c r="AJ41" s="212">
        <f t="shared" si="16"/>
        <v>-2068938.9525589161</v>
      </c>
      <c r="AK41" s="212">
        <f t="shared" si="16"/>
        <v>-2459884.2175299255</v>
      </c>
      <c r="AL41" s="212">
        <f t="shared" si="16"/>
        <v>-2667171.1115647461</v>
      </c>
      <c r="AM41" s="212">
        <f t="shared" si="16"/>
        <v>-2226561.1930639194</v>
      </c>
      <c r="AN41" s="212">
        <f t="shared" si="16"/>
        <v>-1533685.5235649627</v>
      </c>
      <c r="AO41" s="212">
        <f t="shared" si="16"/>
        <v>-1629385.1674571941</v>
      </c>
      <c r="AP41" s="212">
        <f t="shared" si="16"/>
        <v>-1197187.9988137763</v>
      </c>
      <c r="AQ41" s="212">
        <f t="shared" si="16"/>
        <v>1692282.5464694221</v>
      </c>
      <c r="AR41" s="212">
        <f t="shared" si="16"/>
        <v>-891881.44101239461</v>
      </c>
      <c r="AS41" s="212">
        <f t="shared" si="16"/>
        <v>-524148.61595856398</v>
      </c>
      <c r="AT41" s="212">
        <f t="shared" si="16"/>
        <v>291973.42846909724</v>
      </c>
      <c r="AU41" s="212">
        <f t="shared" si="16"/>
        <v>-54551.715137952939</v>
      </c>
      <c r="AV41" s="212">
        <f t="shared" si="16"/>
        <v>211614.17316447385</v>
      </c>
      <c r="AW41" s="212">
        <f t="shared" si="16"/>
        <v>516997.81346315891</v>
      </c>
      <c r="AX41" s="212">
        <f t="shared" si="16"/>
        <v>-712934.86119783297</v>
      </c>
      <c r="AY41" s="212">
        <f t="shared" si="16"/>
        <v>-375171.28514587507</v>
      </c>
      <c r="AZ41" s="212">
        <f t="shared" si="16"/>
        <v>295822.16597738117</v>
      </c>
      <c r="BA41" s="212">
        <f t="shared" si="16"/>
        <v>127172.99217193201</v>
      </c>
      <c r="BB41" s="212">
        <f t="shared" si="16"/>
        <v>526672.78645700216</v>
      </c>
      <c r="BC41" s="212">
        <f t="shared" si="16"/>
        <v>1162131.7697749138</v>
      </c>
      <c r="BD41" s="212">
        <f t="shared" si="16"/>
        <v>831322.00166692771</v>
      </c>
      <c r="BE41" s="212">
        <f t="shared" si="16"/>
        <v>963898.92187883146</v>
      </c>
      <c r="BF41" s="212">
        <f t="shared" si="16"/>
        <v>1365143.9992141016</v>
      </c>
      <c r="BG41" s="212">
        <f t="shared" si="16"/>
        <v>1043869.8875165265</v>
      </c>
      <c r="BH41" s="212">
        <f t="shared" si="16"/>
        <v>1161827.6829423159</v>
      </c>
      <c r="BI41" s="212">
        <f t="shared" si="16"/>
        <v>1412764.4193615578</v>
      </c>
      <c r="BJ41" s="212">
        <f t="shared" si="16"/>
        <v>-640544.90999876894</v>
      </c>
      <c r="BK41" s="212">
        <f t="shared" si="16"/>
        <v>-486060.61428779922</v>
      </c>
      <c r="BL41" s="212">
        <f t="shared" si="16"/>
        <v>94455.713653475046</v>
      </c>
      <c r="BM41" s="212">
        <f t="shared" si="16"/>
        <v>-409524.33422514424</v>
      </c>
      <c r="BN41" s="212">
        <f t="shared" si="16"/>
        <v>-171412.28922712244</v>
      </c>
      <c r="BO41" s="212">
        <f t="shared" si="16"/>
        <v>253250.13273150846</v>
      </c>
      <c r="BP41" s="212">
        <f t="shared" si="16"/>
        <v>-85349.039933223277</v>
      </c>
      <c r="BQ41" s="212">
        <f t="shared" si="16"/>
        <v>79845.412473337725</v>
      </c>
      <c r="BR41" s="212">
        <f t="shared" si="16"/>
        <v>533122.33471714891</v>
      </c>
      <c r="BS41" s="212">
        <f t="shared" si="16"/>
        <v>171852.44353412464</v>
      </c>
      <c r="BT41" s="212">
        <f t="shared" si="16"/>
        <v>338376.17742239684</v>
      </c>
      <c r="BU41" s="11"/>
      <c r="BV41" s="212">
        <f t="shared" si="16"/>
        <v>-12511033.530599702</v>
      </c>
      <c r="BW41" s="212">
        <f t="shared" si="16"/>
        <v>-21750560.117861971</v>
      </c>
      <c r="BX41" s="212">
        <f t="shared" si="16"/>
        <v>-10988586.836000441</v>
      </c>
      <c r="BY41" s="212">
        <f t="shared" si="16"/>
        <v>6906753.8747193832</v>
      </c>
      <c r="BZ41" s="212">
        <f t="shared" ref="BZ41" si="17">BZ39+BZ31+BZ25</f>
        <v>1090775.4462214913</v>
      </c>
    </row>
    <row r="42" spans="1:78" x14ac:dyDescent="0.3">
      <c r="A42" s="84"/>
      <c r="B42" s="84" t="s">
        <v>252</v>
      </c>
      <c r="C42" s="84"/>
      <c r="D42" s="84"/>
      <c r="E42" s="84"/>
      <c r="F42" s="134"/>
      <c r="G42" s="30"/>
      <c r="H42" s="30"/>
      <c r="I42" s="30"/>
      <c r="J42" s="30"/>
      <c r="K42" s="30"/>
      <c r="M42" s="24">
        <v>0</v>
      </c>
      <c r="N42" s="24">
        <f>M43</f>
        <v>-437780</v>
      </c>
      <c r="O42" s="24">
        <f t="shared" ref="O42:BT42" si="18">N43</f>
        <v>-1327267.8017285424</v>
      </c>
      <c r="P42" s="24">
        <f t="shared" si="18"/>
        <v>-2188463.4051856273</v>
      </c>
      <c r="Q42" s="24">
        <f t="shared" si="18"/>
        <v>-2968121.5915677832</v>
      </c>
      <c r="R42" s="24">
        <f t="shared" si="18"/>
        <v>-3988745.5483393627</v>
      </c>
      <c r="S42" s="24">
        <f t="shared" si="18"/>
        <v>-4961180.4943038374</v>
      </c>
      <c r="T42" s="24">
        <f t="shared" si="18"/>
        <v>-5659264.6790334377</v>
      </c>
      <c r="U42" s="24">
        <f t="shared" si="18"/>
        <v>-7079366.2278846381</v>
      </c>
      <c r="V42" s="24">
        <f t="shared" si="18"/>
        <v>-8430897.8907148484</v>
      </c>
      <c r="W42" s="24">
        <f t="shared" si="18"/>
        <v>-9455691.5421675928</v>
      </c>
      <c r="X42" s="24">
        <f t="shared" si="18"/>
        <v>-11072224.869992407</v>
      </c>
      <c r="Y42" s="24">
        <f t="shared" si="18"/>
        <v>-12511033.530599702</v>
      </c>
      <c r="Z42" s="24">
        <f t="shared" si="18"/>
        <v>-13911131.397492286</v>
      </c>
      <c r="AA42" s="24">
        <f t="shared" si="18"/>
        <v>-15789865.753292585</v>
      </c>
      <c r="AB42" s="24">
        <f t="shared" si="18"/>
        <v>-17528958.910251066</v>
      </c>
      <c r="AC42" s="24">
        <f t="shared" si="18"/>
        <v>-18729574.055832084</v>
      </c>
      <c r="AD42" s="24">
        <f t="shared" si="18"/>
        <v>-20382754.37749999</v>
      </c>
      <c r="AE42" s="24">
        <f t="shared" si="18"/>
        <v>-21810725.96927214</v>
      </c>
      <c r="AF42" s="24">
        <f t="shared" si="18"/>
        <v>-21802647.826015301</v>
      </c>
      <c r="AG42" s="24">
        <f t="shared" si="18"/>
        <v>-25104166.733488873</v>
      </c>
      <c r="AH42" s="24">
        <f t="shared" si="18"/>
        <v>-27995385.879157212</v>
      </c>
      <c r="AI42" s="24">
        <f t="shared" si="18"/>
        <v>-29730015.387236074</v>
      </c>
      <c r="AJ42" s="24">
        <f t="shared" si="18"/>
        <v>-32192654.695902761</v>
      </c>
      <c r="AK42" s="24">
        <f t="shared" si="18"/>
        <v>-34261593.648461677</v>
      </c>
      <c r="AL42" s="24">
        <f t="shared" si="18"/>
        <v>-36721477.8659916</v>
      </c>
      <c r="AM42" s="24">
        <f t="shared" si="18"/>
        <v>-39388648.977556348</v>
      </c>
      <c r="AN42" s="24">
        <f t="shared" si="18"/>
        <v>-41615210.17062027</v>
      </c>
      <c r="AO42" s="24">
        <f t="shared" si="18"/>
        <v>-43148895.694185235</v>
      </c>
      <c r="AP42" s="24">
        <f t="shared" si="18"/>
        <v>-44778280.861642428</v>
      </c>
      <c r="AQ42" s="24">
        <f t="shared" si="18"/>
        <v>-45975468.860456206</v>
      </c>
      <c r="AR42" s="24">
        <f t="shared" si="18"/>
        <v>-44283186.313986786</v>
      </c>
      <c r="AS42" s="24">
        <f t="shared" si="18"/>
        <v>-45175067.754999183</v>
      </c>
      <c r="AT42" s="24">
        <f t="shared" si="18"/>
        <v>-45699216.370957747</v>
      </c>
      <c r="AU42" s="24">
        <f t="shared" si="18"/>
        <v>-45407242.942488648</v>
      </c>
      <c r="AV42" s="24">
        <f t="shared" si="18"/>
        <v>-45461794.657626599</v>
      </c>
      <c r="AW42" s="24">
        <f t="shared" si="18"/>
        <v>-45250180.484462127</v>
      </c>
      <c r="AX42" s="24">
        <f t="shared" si="18"/>
        <v>-44733182.670998968</v>
      </c>
      <c r="AY42" s="24">
        <f t="shared" si="18"/>
        <v>-45446117.532196805</v>
      </c>
      <c r="AZ42" s="24">
        <f t="shared" si="18"/>
        <v>-45821288.817342684</v>
      </c>
      <c r="BA42" s="24">
        <f t="shared" si="18"/>
        <v>-45525466.651365303</v>
      </c>
      <c r="BB42" s="24">
        <f t="shared" si="18"/>
        <v>-45398293.659193367</v>
      </c>
      <c r="BC42" s="24">
        <f t="shared" si="18"/>
        <v>-44871620.872736365</v>
      </c>
      <c r="BD42" s="24">
        <f t="shared" si="18"/>
        <v>-43709489.102961451</v>
      </c>
      <c r="BE42" s="24">
        <f t="shared" si="18"/>
        <v>-42878167.101294525</v>
      </c>
      <c r="BF42" s="24">
        <f t="shared" si="18"/>
        <v>-41914268.179415695</v>
      </c>
      <c r="BG42" s="24">
        <f t="shared" si="18"/>
        <v>-40549124.18020159</v>
      </c>
      <c r="BH42" s="24">
        <f t="shared" si="18"/>
        <v>-39505254.292685062</v>
      </c>
      <c r="BI42" s="24">
        <f t="shared" si="18"/>
        <v>-38343426.609742746</v>
      </c>
      <c r="BJ42" s="24">
        <f t="shared" si="18"/>
        <v>-36930662.190381184</v>
      </c>
      <c r="BK42" s="24">
        <f t="shared" si="18"/>
        <v>-37571207.100379951</v>
      </c>
      <c r="BL42" s="24">
        <f t="shared" si="18"/>
        <v>-38057267.714667752</v>
      </c>
      <c r="BM42" s="24">
        <f t="shared" si="18"/>
        <v>-37962812.001014277</v>
      </c>
      <c r="BN42" s="24">
        <f t="shared" si="18"/>
        <v>-38372336.335239425</v>
      </c>
      <c r="BO42" s="24">
        <f t="shared" si="18"/>
        <v>-38543748.624466546</v>
      </c>
      <c r="BP42" s="24">
        <f t="shared" si="18"/>
        <v>-38290498.491735041</v>
      </c>
      <c r="BQ42" s="24">
        <f t="shared" si="18"/>
        <v>-38375847.531668261</v>
      </c>
      <c r="BR42" s="24">
        <f t="shared" si="18"/>
        <v>-38296002.119194925</v>
      </c>
      <c r="BS42" s="24">
        <f t="shared" si="18"/>
        <v>-37762879.784477778</v>
      </c>
      <c r="BT42" s="24">
        <f t="shared" si="18"/>
        <v>-37591027.340943649</v>
      </c>
      <c r="BU42" s="11"/>
      <c r="BV42" s="24">
        <f>M42</f>
        <v>0</v>
      </c>
      <c r="BW42" s="24">
        <f>BV43</f>
        <v>-12511033.530599702</v>
      </c>
      <c r="BX42" s="24">
        <f t="shared" ref="BX42:BZ42" si="19">BW43</f>
        <v>-34261593.64846167</v>
      </c>
      <c r="BY42" s="24">
        <f t="shared" si="19"/>
        <v>-45250180.484462112</v>
      </c>
      <c r="BZ42" s="24">
        <f t="shared" si="19"/>
        <v>-38343426.609742731</v>
      </c>
    </row>
    <row r="43" spans="1:78" x14ac:dyDescent="0.3">
      <c r="A43" s="194"/>
      <c r="B43" s="194" t="s">
        <v>253</v>
      </c>
      <c r="C43" s="195"/>
      <c r="D43" s="195"/>
      <c r="E43" s="196"/>
      <c r="F43" s="197"/>
      <c r="G43" s="198"/>
      <c r="H43" s="198"/>
      <c r="I43" s="198"/>
      <c r="J43" s="198"/>
      <c r="K43" s="198"/>
      <c r="L43" s="199"/>
      <c r="M43" s="200">
        <f>M42+M41</f>
        <v>-437780</v>
      </c>
      <c r="N43" s="200">
        <f t="shared" ref="N43:BY43" si="20">N42+N41</f>
        <v>-1327267.8017285424</v>
      </c>
      <c r="O43" s="200">
        <f t="shared" si="20"/>
        <v>-2188463.4051856273</v>
      </c>
      <c r="P43" s="200">
        <f t="shared" si="20"/>
        <v>-2968121.5915677832</v>
      </c>
      <c r="Q43" s="200">
        <f t="shared" si="20"/>
        <v>-3988745.5483393627</v>
      </c>
      <c r="R43" s="200">
        <f t="shared" si="20"/>
        <v>-4961180.4943038374</v>
      </c>
      <c r="S43" s="200">
        <f t="shared" si="20"/>
        <v>-5659264.6790334377</v>
      </c>
      <c r="T43" s="200">
        <f t="shared" si="20"/>
        <v>-7079366.2278846381</v>
      </c>
      <c r="U43" s="200">
        <f t="shared" si="20"/>
        <v>-8430897.8907148484</v>
      </c>
      <c r="V43" s="200">
        <f t="shared" si="20"/>
        <v>-9455691.5421675928</v>
      </c>
      <c r="W43" s="200">
        <f t="shared" si="20"/>
        <v>-11072224.869992407</v>
      </c>
      <c r="X43" s="200">
        <f t="shared" si="20"/>
        <v>-12511033.530599702</v>
      </c>
      <c r="Y43" s="200">
        <f t="shared" si="20"/>
        <v>-13911131.397492286</v>
      </c>
      <c r="Z43" s="200">
        <f t="shared" si="20"/>
        <v>-15789865.753292585</v>
      </c>
      <c r="AA43" s="200">
        <f t="shared" si="20"/>
        <v>-17528958.910251066</v>
      </c>
      <c r="AB43" s="200">
        <f t="shared" si="20"/>
        <v>-18729574.055832084</v>
      </c>
      <c r="AC43" s="200">
        <f t="shared" si="20"/>
        <v>-20382754.37749999</v>
      </c>
      <c r="AD43" s="200">
        <f t="shared" si="20"/>
        <v>-21810725.96927214</v>
      </c>
      <c r="AE43" s="200">
        <f t="shared" si="20"/>
        <v>-21802647.826015301</v>
      </c>
      <c r="AF43" s="200">
        <f t="shared" si="20"/>
        <v>-25104166.733488873</v>
      </c>
      <c r="AG43" s="200">
        <f t="shared" si="20"/>
        <v>-27995385.879157212</v>
      </c>
      <c r="AH43" s="200">
        <f t="shared" si="20"/>
        <v>-29730015.387236074</v>
      </c>
      <c r="AI43" s="200">
        <f t="shared" si="20"/>
        <v>-32192654.695902761</v>
      </c>
      <c r="AJ43" s="200">
        <f t="shared" si="20"/>
        <v>-34261593.648461677</v>
      </c>
      <c r="AK43" s="200">
        <f t="shared" si="20"/>
        <v>-36721477.8659916</v>
      </c>
      <c r="AL43" s="200">
        <f t="shared" si="20"/>
        <v>-39388648.977556348</v>
      </c>
      <c r="AM43" s="200">
        <f t="shared" si="20"/>
        <v>-41615210.17062027</v>
      </c>
      <c r="AN43" s="200">
        <f t="shared" si="20"/>
        <v>-43148895.694185235</v>
      </c>
      <c r="AO43" s="200">
        <f t="shared" si="20"/>
        <v>-44778280.861642428</v>
      </c>
      <c r="AP43" s="200">
        <f t="shared" si="20"/>
        <v>-45975468.860456206</v>
      </c>
      <c r="AQ43" s="200">
        <f t="shared" si="20"/>
        <v>-44283186.313986786</v>
      </c>
      <c r="AR43" s="200">
        <f t="shared" si="20"/>
        <v>-45175067.754999183</v>
      </c>
      <c r="AS43" s="200">
        <f t="shared" si="20"/>
        <v>-45699216.370957747</v>
      </c>
      <c r="AT43" s="200">
        <f t="shared" si="20"/>
        <v>-45407242.942488648</v>
      </c>
      <c r="AU43" s="200">
        <f t="shared" si="20"/>
        <v>-45461794.657626599</v>
      </c>
      <c r="AV43" s="200">
        <f t="shared" si="20"/>
        <v>-45250180.484462127</v>
      </c>
      <c r="AW43" s="200">
        <f t="shared" si="20"/>
        <v>-44733182.670998968</v>
      </c>
      <c r="AX43" s="200">
        <f t="shared" si="20"/>
        <v>-45446117.532196805</v>
      </c>
      <c r="AY43" s="200">
        <f t="shared" si="20"/>
        <v>-45821288.817342684</v>
      </c>
      <c r="AZ43" s="200">
        <f t="shared" si="20"/>
        <v>-45525466.651365303</v>
      </c>
      <c r="BA43" s="200">
        <f t="shared" si="20"/>
        <v>-45398293.659193367</v>
      </c>
      <c r="BB43" s="200">
        <f t="shared" si="20"/>
        <v>-44871620.872736365</v>
      </c>
      <c r="BC43" s="200">
        <f t="shared" si="20"/>
        <v>-43709489.102961451</v>
      </c>
      <c r="BD43" s="200">
        <f t="shared" si="20"/>
        <v>-42878167.101294525</v>
      </c>
      <c r="BE43" s="200">
        <f t="shared" si="20"/>
        <v>-41914268.179415695</v>
      </c>
      <c r="BF43" s="200">
        <f t="shared" si="20"/>
        <v>-40549124.18020159</v>
      </c>
      <c r="BG43" s="200">
        <f t="shared" si="20"/>
        <v>-39505254.292685062</v>
      </c>
      <c r="BH43" s="200">
        <f t="shared" si="20"/>
        <v>-38343426.609742746</v>
      </c>
      <c r="BI43" s="200">
        <f t="shared" si="20"/>
        <v>-36930662.190381184</v>
      </c>
      <c r="BJ43" s="200">
        <f t="shared" si="20"/>
        <v>-37571207.100379951</v>
      </c>
      <c r="BK43" s="200">
        <f t="shared" si="20"/>
        <v>-38057267.714667752</v>
      </c>
      <c r="BL43" s="200">
        <f t="shared" si="20"/>
        <v>-37962812.001014277</v>
      </c>
      <c r="BM43" s="200">
        <f t="shared" si="20"/>
        <v>-38372336.335239425</v>
      </c>
      <c r="BN43" s="200">
        <f t="shared" si="20"/>
        <v>-38543748.624466546</v>
      </c>
      <c r="BO43" s="200">
        <f t="shared" si="20"/>
        <v>-38290498.491735041</v>
      </c>
      <c r="BP43" s="200">
        <f t="shared" si="20"/>
        <v>-38375847.531668261</v>
      </c>
      <c r="BQ43" s="200">
        <f t="shared" si="20"/>
        <v>-38296002.119194925</v>
      </c>
      <c r="BR43" s="200">
        <f t="shared" si="20"/>
        <v>-37762879.784477778</v>
      </c>
      <c r="BS43" s="200">
        <f t="shared" si="20"/>
        <v>-37591027.340943649</v>
      </c>
      <c r="BT43" s="200">
        <f t="shared" si="20"/>
        <v>-37252651.163521253</v>
      </c>
      <c r="BU43" s="11"/>
      <c r="BV43" s="200">
        <f t="shared" si="20"/>
        <v>-12511033.530599702</v>
      </c>
      <c r="BW43" s="200">
        <f t="shared" si="20"/>
        <v>-34261593.64846167</v>
      </c>
      <c r="BX43" s="200">
        <f t="shared" si="20"/>
        <v>-45250180.484462112</v>
      </c>
      <c r="BY43" s="200">
        <f t="shared" si="20"/>
        <v>-38343426.609742731</v>
      </c>
      <c r="BZ43" s="200">
        <f t="shared" ref="BZ43" si="21">BZ42+BZ41</f>
        <v>-37252651.163521238</v>
      </c>
    </row>
    <row r="44" spans="1:78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AE44" s="72"/>
      <c r="AF44" s="72">
        <f>SUM(AE41:BT41)</f>
        <v>-15441925.194249103</v>
      </c>
      <c r="BU44" s="11"/>
    </row>
    <row r="45" spans="1:78" x14ac:dyDescent="0.3">
      <c r="A45" s="30"/>
      <c r="B45" s="30" t="s">
        <v>254</v>
      </c>
      <c r="C45" s="30"/>
      <c r="D45" s="37">
        <f>W43</f>
        <v>-11072224.869992407</v>
      </c>
      <c r="E45" s="30"/>
      <c r="F45" s="30"/>
      <c r="G45" s="30"/>
      <c r="H45" s="30"/>
      <c r="I45" s="30"/>
      <c r="J45" s="30"/>
      <c r="K45" s="30"/>
      <c r="BU45" s="11"/>
    </row>
    <row r="46" spans="1:78" x14ac:dyDescent="0.3">
      <c r="A46" s="30"/>
      <c r="B46" s="30" t="s">
        <v>255</v>
      </c>
      <c r="C46" s="30"/>
      <c r="D46" s="37">
        <f>AC43</f>
        <v>-20382754.37749999</v>
      </c>
      <c r="E46" s="30"/>
      <c r="F46" s="30"/>
      <c r="G46" s="30"/>
      <c r="H46" s="30"/>
      <c r="I46" s="30"/>
      <c r="J46" s="30"/>
      <c r="K46" s="30"/>
      <c r="BU46" s="11"/>
    </row>
    <row r="47" spans="1:78" x14ac:dyDescent="0.3">
      <c r="A47" s="30"/>
      <c r="B47" s="30" t="s">
        <v>256</v>
      </c>
      <c r="C47" s="30"/>
      <c r="D47" s="37">
        <f>AI43</f>
        <v>-32192654.695902761</v>
      </c>
      <c r="E47" s="30"/>
      <c r="F47" s="30"/>
      <c r="G47" s="30"/>
      <c r="H47" s="30"/>
      <c r="I47" s="30"/>
      <c r="J47" s="30"/>
      <c r="K47" s="30"/>
      <c r="BU47" s="11"/>
    </row>
  </sheetData>
  <mergeCells count="2">
    <mergeCell ref="M2:BT2"/>
    <mergeCell ref="BV2:B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AD7F-557F-3D4C-92EA-5A2E09DD494C}">
  <dimension ref="A1:BZ41"/>
  <sheetViews>
    <sheetView showGridLines="0" workbookViewId="0">
      <selection activeCell="C28" sqref="C28"/>
    </sheetView>
  </sheetViews>
  <sheetFormatPr defaultColWidth="11.19921875" defaultRowHeight="15.6" x14ac:dyDescent="0.3"/>
  <cols>
    <col min="3" max="3" width="19.19921875" customWidth="1"/>
    <col min="4" max="4" width="12" bestFit="1" customWidth="1"/>
  </cols>
  <sheetData>
    <row r="1" spans="1:78" ht="23.4" x14ac:dyDescent="0.45">
      <c r="A1" s="271" t="s">
        <v>301</v>
      </c>
      <c r="B1" s="271"/>
      <c r="C1" s="271"/>
      <c r="D1" s="271"/>
      <c r="E1" s="83"/>
      <c r="F1" s="84"/>
      <c r="G1" s="84"/>
      <c r="H1" s="84"/>
      <c r="I1" s="84"/>
      <c r="J1" s="84"/>
      <c r="K1" s="84"/>
      <c r="L1" s="3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16.2" thickBot="1" x14ac:dyDescent="0.35">
      <c r="A2" s="84" t="s">
        <v>92</v>
      </c>
      <c r="B2" s="84">
        <v>86</v>
      </c>
      <c r="C2" s="84"/>
      <c r="D2" s="84"/>
      <c r="E2" s="84"/>
      <c r="F2" s="84"/>
      <c r="G2" s="84"/>
      <c r="H2" s="84"/>
      <c r="I2" s="84"/>
      <c r="J2" s="84"/>
      <c r="K2" s="84"/>
      <c r="L2" s="3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3"/>
      <c r="BV2" s="82"/>
      <c r="BW2" s="82"/>
      <c r="BX2" s="82"/>
      <c r="BY2" s="82"/>
      <c r="BZ2" s="82"/>
    </row>
    <row r="3" spans="1:78" x14ac:dyDescent="0.3">
      <c r="A3" s="85" t="s">
        <v>93</v>
      </c>
      <c r="B3" s="85"/>
      <c r="C3" s="84"/>
      <c r="D3" s="84"/>
      <c r="E3" s="84"/>
      <c r="F3" s="84"/>
      <c r="G3" s="84"/>
      <c r="H3" s="84"/>
      <c r="I3" s="84"/>
      <c r="J3" s="84"/>
      <c r="K3" s="84"/>
      <c r="L3" s="3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31"/>
      <c r="BV3" s="80"/>
      <c r="BW3" s="80"/>
      <c r="BX3" s="80"/>
      <c r="BY3" s="80"/>
      <c r="BZ3" s="80"/>
    </row>
    <row r="4" spans="1:78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3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31"/>
      <c r="BV4" s="81"/>
      <c r="BW4" s="81"/>
      <c r="BX4" s="81"/>
      <c r="BY4" s="81"/>
      <c r="BZ4" s="81"/>
    </row>
    <row r="5" spans="1:78" ht="46.8" x14ac:dyDescent="0.3">
      <c r="A5" s="84"/>
      <c r="B5" s="251" t="s">
        <v>94</v>
      </c>
      <c r="C5" s="251" t="s">
        <v>95</v>
      </c>
      <c r="D5" s="251" t="s">
        <v>96</v>
      </c>
      <c r="E5" s="251" t="s">
        <v>97</v>
      </c>
      <c r="F5" s="251" t="s">
        <v>98</v>
      </c>
      <c r="G5" s="251" t="s">
        <v>99</v>
      </c>
      <c r="H5" s="251" t="s">
        <v>100</v>
      </c>
      <c r="I5" s="251" t="s">
        <v>101</v>
      </c>
      <c r="J5" s="251" t="s">
        <v>102</v>
      </c>
      <c r="K5" s="251" t="s">
        <v>103</v>
      </c>
    </row>
    <row r="6" spans="1:78" x14ac:dyDescent="0.3">
      <c r="A6" s="84"/>
      <c r="B6" s="86">
        <v>1</v>
      </c>
      <c r="C6" s="87" t="s">
        <v>104</v>
      </c>
      <c r="D6" s="88"/>
      <c r="E6" s="88"/>
      <c r="F6" s="89" t="s">
        <v>105</v>
      </c>
      <c r="G6" s="89" t="s">
        <v>107</v>
      </c>
      <c r="H6" s="90" t="s">
        <v>106</v>
      </c>
      <c r="I6" s="113">
        <v>2.9</v>
      </c>
      <c r="J6" s="91" t="s">
        <v>108</v>
      </c>
      <c r="K6" s="92"/>
    </row>
    <row r="7" spans="1:78" x14ac:dyDescent="0.3">
      <c r="A7" s="84"/>
      <c r="B7" s="93"/>
      <c r="C7" s="87" t="s">
        <v>104</v>
      </c>
      <c r="D7" s="94"/>
      <c r="E7" s="94"/>
      <c r="F7" s="89" t="s">
        <v>109</v>
      </c>
      <c r="G7" s="89" t="s">
        <v>110</v>
      </c>
      <c r="H7" s="236" t="s">
        <v>106</v>
      </c>
      <c r="I7" s="113">
        <v>1.8</v>
      </c>
      <c r="J7" s="112">
        <f>115.9/10^3</f>
        <v>0.1159</v>
      </c>
      <c r="K7" s="92">
        <f>I7/J7</f>
        <v>15.530629853321829</v>
      </c>
    </row>
    <row r="8" spans="1:78" x14ac:dyDescent="0.3">
      <c r="A8" s="84"/>
      <c r="B8" s="93"/>
      <c r="C8" s="87" t="s">
        <v>104</v>
      </c>
      <c r="D8" s="94"/>
      <c r="E8" s="94"/>
      <c r="F8" s="89" t="s">
        <v>111</v>
      </c>
      <c r="G8" s="89" t="s">
        <v>108</v>
      </c>
      <c r="H8" s="90" t="s">
        <v>112</v>
      </c>
      <c r="I8" s="113" t="s">
        <v>108</v>
      </c>
      <c r="J8" s="112">
        <f>94.1/10^3</f>
        <v>9.4099999999999989E-2</v>
      </c>
      <c r="K8" s="92"/>
    </row>
    <row r="9" spans="1:78" x14ac:dyDescent="0.3">
      <c r="A9" s="84"/>
      <c r="B9" s="93"/>
      <c r="C9" s="87" t="s">
        <v>104</v>
      </c>
      <c r="D9" s="94"/>
      <c r="E9" s="101"/>
      <c r="F9" s="89" t="s">
        <v>113</v>
      </c>
      <c r="G9" s="89" t="s">
        <v>114</v>
      </c>
      <c r="H9" s="90" t="s">
        <v>106</v>
      </c>
      <c r="I9" s="113">
        <v>1.6</v>
      </c>
      <c r="J9" s="112">
        <f>2.7/10^3</f>
        <v>2.7000000000000001E-3</v>
      </c>
      <c r="K9" s="92">
        <f>I9/J9</f>
        <v>592.59259259259261</v>
      </c>
    </row>
    <row r="10" spans="1:78" x14ac:dyDescent="0.3">
      <c r="A10" s="84"/>
      <c r="B10" s="100"/>
      <c r="C10" s="87" t="s">
        <v>104</v>
      </c>
      <c r="D10" s="94"/>
      <c r="E10" s="94"/>
      <c r="F10" s="89" t="s">
        <v>115</v>
      </c>
      <c r="G10" s="89" t="s">
        <v>116</v>
      </c>
      <c r="H10" s="90" t="s">
        <v>106</v>
      </c>
      <c r="I10" s="113">
        <f>386.8/10^3</f>
        <v>0.38680000000000003</v>
      </c>
      <c r="J10" s="112">
        <f>2.3/10^3</f>
        <v>2.3E-3</v>
      </c>
      <c r="K10" s="92">
        <f>I10/J10</f>
        <v>168.17391304347828</v>
      </c>
    </row>
    <row r="11" spans="1:78" x14ac:dyDescent="0.3">
      <c r="A11" s="84"/>
      <c r="B11" s="95"/>
      <c r="C11" s="95"/>
      <c r="D11" s="96"/>
      <c r="E11" s="96"/>
      <c r="F11" s="89"/>
      <c r="G11" s="97"/>
      <c r="H11" s="96"/>
      <c r="I11" s="98"/>
      <c r="J11" s="99"/>
      <c r="K11" s="102"/>
    </row>
    <row r="12" spans="1:78" x14ac:dyDescent="0.3">
      <c r="A12" s="84"/>
      <c r="B12" s="93">
        <v>2</v>
      </c>
      <c r="C12" s="103" t="s">
        <v>268</v>
      </c>
      <c r="D12" s="104"/>
      <c r="E12" s="104"/>
      <c r="F12" s="89" t="s">
        <v>269</v>
      </c>
      <c r="G12" s="106" t="s">
        <v>271</v>
      </c>
      <c r="H12" s="107" t="s">
        <v>106</v>
      </c>
      <c r="I12" s="108">
        <v>2.6</v>
      </c>
      <c r="J12" s="109" t="s">
        <v>273</v>
      </c>
      <c r="K12" s="110"/>
    </row>
    <row r="13" spans="1:78" x14ac:dyDescent="0.3">
      <c r="A13" s="84"/>
      <c r="B13" s="93"/>
      <c r="C13" s="103" t="s">
        <v>268</v>
      </c>
      <c r="D13" s="104"/>
      <c r="E13" s="104"/>
      <c r="F13" s="89" t="s">
        <v>270</v>
      </c>
      <c r="G13" s="106" t="s">
        <v>272</v>
      </c>
      <c r="H13" s="107" t="s">
        <v>106</v>
      </c>
      <c r="I13" s="108">
        <v>323</v>
      </c>
      <c r="J13" s="109" t="s">
        <v>273</v>
      </c>
      <c r="K13" s="110"/>
    </row>
    <row r="14" spans="1:78" x14ac:dyDescent="0.3">
      <c r="A14" s="84"/>
      <c r="B14" s="93"/>
      <c r="C14" s="103"/>
      <c r="D14" s="104"/>
      <c r="E14" s="104"/>
      <c r="F14" s="105"/>
      <c r="G14" s="106"/>
      <c r="H14" s="107"/>
      <c r="I14" s="108"/>
      <c r="J14" s="109"/>
      <c r="K14" s="110"/>
    </row>
    <row r="15" spans="1:78" x14ac:dyDescent="0.3">
      <c r="A15" s="84"/>
      <c r="B15" s="100"/>
      <c r="C15" s="103"/>
      <c r="D15" s="104"/>
      <c r="E15" s="104"/>
      <c r="F15" s="105"/>
      <c r="G15" s="106"/>
      <c r="H15" s="107"/>
      <c r="I15" s="108"/>
      <c r="J15" s="109"/>
      <c r="K15" s="111"/>
    </row>
    <row r="17" spans="2:12" x14ac:dyDescent="0.3">
      <c r="B17" s="86">
        <v>3</v>
      </c>
      <c r="C17" s="87" t="s">
        <v>283</v>
      </c>
      <c r="D17" s="88">
        <v>2019</v>
      </c>
      <c r="E17" s="88">
        <v>1.1200000000000001</v>
      </c>
      <c r="F17" s="89" t="s">
        <v>274</v>
      </c>
      <c r="G17" s="89" t="s">
        <v>275</v>
      </c>
      <c r="H17" s="236" t="s">
        <v>106</v>
      </c>
      <c r="I17" s="113">
        <v>3.7</v>
      </c>
      <c r="J17" s="235">
        <v>0.39039999999999997</v>
      </c>
      <c r="K17" s="92">
        <f>I17/J17</f>
        <v>9.4774590163934445</v>
      </c>
      <c r="L17" s="229"/>
    </row>
    <row r="18" spans="2:12" x14ac:dyDescent="0.3">
      <c r="B18" s="93"/>
      <c r="C18" s="87" t="s">
        <v>283</v>
      </c>
      <c r="D18" s="94"/>
      <c r="E18" s="94"/>
      <c r="F18" s="89" t="s">
        <v>276</v>
      </c>
      <c r="G18" s="89" t="s">
        <v>277</v>
      </c>
      <c r="H18" s="236" t="s">
        <v>106</v>
      </c>
      <c r="I18" s="113">
        <v>2.1</v>
      </c>
      <c r="J18" s="235">
        <v>8.2599999999999993E-2</v>
      </c>
      <c r="K18" s="92">
        <f t="shared" ref="K18:K21" si="0">I18/J18</f>
        <v>25.423728813559325</v>
      </c>
      <c r="L18" s="229"/>
    </row>
    <row r="19" spans="2:12" x14ac:dyDescent="0.3">
      <c r="B19" s="93"/>
      <c r="C19" s="87" t="s">
        <v>283</v>
      </c>
      <c r="D19" s="94"/>
      <c r="E19" s="94"/>
      <c r="F19" s="89" t="s">
        <v>278</v>
      </c>
      <c r="G19" s="89" t="s">
        <v>279</v>
      </c>
      <c r="H19" s="90" t="s">
        <v>112</v>
      </c>
      <c r="I19" s="113">
        <v>1.1000000000000001</v>
      </c>
      <c r="J19" s="235">
        <v>1.3099999999999999E-2</v>
      </c>
      <c r="K19" s="92">
        <f t="shared" si="0"/>
        <v>83.969465648854978</v>
      </c>
      <c r="L19" s="229"/>
    </row>
    <row r="20" spans="2:12" x14ac:dyDescent="0.3">
      <c r="B20" s="93"/>
      <c r="C20" s="87" t="s">
        <v>283</v>
      </c>
      <c r="D20" s="94"/>
      <c r="E20" s="101"/>
      <c r="F20" s="89" t="s">
        <v>280</v>
      </c>
      <c r="G20" s="89" t="s">
        <v>281</v>
      </c>
      <c r="H20" s="90" t="s">
        <v>112</v>
      </c>
      <c r="I20" s="113">
        <f>706.1/10^3</f>
        <v>0.70610000000000006</v>
      </c>
      <c r="J20" s="235">
        <v>9.9000000000000008E-3</v>
      </c>
      <c r="K20" s="92">
        <f t="shared" si="0"/>
        <v>71.323232323232318</v>
      </c>
      <c r="L20" s="229"/>
    </row>
    <row r="21" spans="2:12" x14ac:dyDescent="0.3">
      <c r="B21" s="100"/>
      <c r="C21" s="87" t="s">
        <v>283</v>
      </c>
      <c r="D21" s="94"/>
      <c r="E21" s="94"/>
      <c r="F21" s="89" t="s">
        <v>282</v>
      </c>
      <c r="G21" s="89" t="s">
        <v>108</v>
      </c>
      <c r="H21" s="90" t="s">
        <v>112</v>
      </c>
      <c r="I21" s="113">
        <f>474.7/10^3</f>
        <v>0.47470000000000001</v>
      </c>
      <c r="J21" s="235">
        <v>8.8999999999999999E-3</v>
      </c>
      <c r="K21" s="92">
        <f t="shared" si="0"/>
        <v>53.337078651685395</v>
      </c>
      <c r="L21" s="229"/>
    </row>
    <row r="23" spans="2:12" ht="31.2" x14ac:dyDescent="0.3">
      <c r="C23" s="30"/>
      <c r="D23" s="217" t="s">
        <v>258</v>
      </c>
    </row>
    <row r="24" spans="2:12" x14ac:dyDescent="0.3">
      <c r="C24" s="122" t="s">
        <v>259</v>
      </c>
      <c r="D24" s="218">
        <f>MEDIAN(K7,K17:K18)</f>
        <v>15.530629853321829</v>
      </c>
    </row>
    <row r="26" spans="2:12" x14ac:dyDescent="0.3">
      <c r="C26" s="30"/>
      <c r="D26" s="60" t="s">
        <v>260</v>
      </c>
      <c r="E26" s="60" t="s">
        <v>261</v>
      </c>
    </row>
    <row r="27" spans="2:12" x14ac:dyDescent="0.3">
      <c r="C27" s="219" t="s">
        <v>11</v>
      </c>
      <c r="D27" s="220">
        <f>IS!BZ7/10^7</f>
        <v>21.3</v>
      </c>
      <c r="E27" s="221">
        <f>(D27*10)/$B$2</f>
        <v>2.4767441860465116</v>
      </c>
    </row>
    <row r="28" spans="2:12" x14ac:dyDescent="0.3">
      <c r="C28" s="219" t="s">
        <v>302</v>
      </c>
      <c r="D28" s="220">
        <f>D27*D24</f>
        <v>330.80241587575495</v>
      </c>
      <c r="E28" s="221">
        <f>(D28*10)/$B$2</f>
        <v>38.465397194855221</v>
      </c>
    </row>
    <row r="29" spans="2:12" x14ac:dyDescent="0.3">
      <c r="C29" s="222"/>
      <c r="D29" s="30"/>
      <c r="E29" s="30"/>
    </row>
    <row r="30" spans="2:12" x14ac:dyDescent="0.3">
      <c r="C30" s="223" t="s">
        <v>262</v>
      </c>
      <c r="D30" s="224">
        <v>0.6</v>
      </c>
      <c r="E30" s="225">
        <f>D30</f>
        <v>0.6</v>
      </c>
    </row>
    <row r="31" spans="2:12" x14ac:dyDescent="0.3">
      <c r="C31" s="243" t="s">
        <v>263</v>
      </c>
      <c r="D31" s="244">
        <f>(D28/(1+D30)^5)</f>
        <v>31.547776782584645</v>
      </c>
      <c r="E31" s="245">
        <f>(D31*10)/$B$2</f>
        <v>3.6683461375098427</v>
      </c>
      <c r="F31" s="229"/>
    </row>
    <row r="32" spans="2:12" x14ac:dyDescent="0.3">
      <c r="C32" s="223" t="s">
        <v>264</v>
      </c>
      <c r="D32" s="226">
        <f>ABS(CFS!AC43/10^7)</f>
        <v>2.038275437749999</v>
      </c>
      <c r="E32" s="227">
        <f>(D32*10)/$B$2</f>
        <v>0.23700877183139521</v>
      </c>
    </row>
    <row r="33" spans="2:10" x14ac:dyDescent="0.3">
      <c r="C33" s="246" t="s">
        <v>265</v>
      </c>
      <c r="D33" s="247">
        <f>D31-D32</f>
        <v>29.509501344834646</v>
      </c>
      <c r="E33" s="248">
        <f>(D33*10)/$B$2</f>
        <v>3.4313373656784467</v>
      </c>
    </row>
    <row r="34" spans="2:10" x14ac:dyDescent="0.3">
      <c r="C34" s="223" t="s">
        <v>266</v>
      </c>
      <c r="D34" s="228">
        <f>D32/D31</f>
        <v>6.4609162534559034E-2</v>
      </c>
      <c r="E34" s="228">
        <f>E32/E31</f>
        <v>6.460916253455902E-2</v>
      </c>
    </row>
    <row r="36" spans="2:10" x14ac:dyDescent="0.3">
      <c r="B36" s="237"/>
      <c r="C36" s="237"/>
      <c r="D36" s="237"/>
      <c r="E36" s="237"/>
      <c r="F36" s="237"/>
      <c r="G36" s="237"/>
      <c r="H36" s="237"/>
      <c r="I36" s="237"/>
      <c r="J36" s="238"/>
    </row>
    <row r="37" spans="2:10" x14ac:dyDescent="0.3">
      <c r="B37" s="239"/>
      <c r="C37" s="239"/>
      <c r="D37" s="240"/>
      <c r="E37" s="241"/>
      <c r="F37" s="241"/>
      <c r="G37" s="241"/>
      <c r="H37" s="241"/>
      <c r="I37" s="241"/>
      <c r="J37" s="242"/>
    </row>
    <row r="38" spans="2:10" x14ac:dyDescent="0.3">
      <c r="B38" s="239"/>
      <c r="C38" s="239"/>
      <c r="D38" s="240"/>
      <c r="E38" s="241"/>
      <c r="F38" s="241"/>
      <c r="G38" s="241"/>
      <c r="H38" s="241"/>
      <c r="I38" s="241"/>
      <c r="J38" s="242"/>
    </row>
    <row r="39" spans="2:10" x14ac:dyDescent="0.3">
      <c r="B39" s="239"/>
      <c r="C39" s="239"/>
      <c r="D39" s="240"/>
      <c r="E39" s="241"/>
      <c r="F39" s="241"/>
      <c r="G39" s="241"/>
      <c r="H39" s="241"/>
      <c r="I39" s="241"/>
      <c r="J39" s="242"/>
    </row>
    <row r="40" spans="2:10" x14ac:dyDescent="0.3">
      <c r="B40" s="239"/>
      <c r="C40" s="239"/>
      <c r="D40" s="240"/>
      <c r="E40" s="241"/>
      <c r="F40" s="241"/>
      <c r="G40" s="241"/>
      <c r="H40" s="241"/>
      <c r="I40" s="241"/>
      <c r="J40" s="242"/>
    </row>
    <row r="41" spans="2:10" x14ac:dyDescent="0.3">
      <c r="B41" s="239"/>
      <c r="C41" s="239"/>
      <c r="D41" s="240"/>
      <c r="E41" s="241"/>
      <c r="F41" s="241"/>
      <c r="G41" s="241"/>
      <c r="H41" s="241"/>
      <c r="I41" s="241"/>
      <c r="J41" s="242"/>
    </row>
  </sheetData>
  <mergeCells count="1">
    <mergeCell ref="A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8047-E31F-344B-B107-9454107CA116}">
  <dimension ref="A1:A37"/>
  <sheetViews>
    <sheetView topLeftCell="A10" workbookViewId="0">
      <selection activeCell="A14" sqref="A14:A17"/>
    </sheetView>
  </sheetViews>
  <sheetFormatPr defaultColWidth="11.19921875" defaultRowHeight="15.6" x14ac:dyDescent="0.3"/>
  <sheetData>
    <row r="1" spans="1:1" ht="18" x14ac:dyDescent="0.35">
      <c r="A1" s="39" t="s">
        <v>35</v>
      </c>
    </row>
    <row r="3" spans="1:1" x14ac:dyDescent="0.3">
      <c r="A3" t="s">
        <v>36</v>
      </c>
    </row>
    <row r="5" spans="1:1" x14ac:dyDescent="0.3">
      <c r="A5" s="40" t="s">
        <v>37</v>
      </c>
    </row>
    <row r="7" spans="1:1" x14ac:dyDescent="0.3">
      <c r="A7" t="s">
        <v>38</v>
      </c>
    </row>
    <row r="8" spans="1:1" x14ac:dyDescent="0.3">
      <c r="A8" t="s">
        <v>39</v>
      </c>
    </row>
    <row r="9" spans="1:1" x14ac:dyDescent="0.3">
      <c r="A9" t="s">
        <v>40</v>
      </c>
    </row>
    <row r="10" spans="1:1" x14ac:dyDescent="0.3">
      <c r="A10" t="s">
        <v>41</v>
      </c>
    </row>
    <row r="12" spans="1:1" x14ac:dyDescent="0.3">
      <c r="A12" s="40" t="s">
        <v>42</v>
      </c>
    </row>
    <row r="14" spans="1:1" x14ac:dyDescent="0.3">
      <c r="A14" t="s">
        <v>43</v>
      </c>
    </row>
    <row r="15" spans="1:1" x14ac:dyDescent="0.3">
      <c r="A15" t="s">
        <v>44</v>
      </c>
    </row>
    <row r="16" spans="1:1" x14ac:dyDescent="0.3">
      <c r="A16" t="s">
        <v>45</v>
      </c>
    </row>
    <row r="17" spans="1:1" x14ac:dyDescent="0.3">
      <c r="A17" t="s">
        <v>46</v>
      </c>
    </row>
    <row r="19" spans="1:1" x14ac:dyDescent="0.3">
      <c r="A19" s="4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4" spans="1:1" x14ac:dyDescent="0.3">
      <c r="A24" s="40" t="s">
        <v>50</v>
      </c>
    </row>
    <row r="26" spans="1:1" x14ac:dyDescent="0.3">
      <c r="A26" t="s">
        <v>51</v>
      </c>
    </row>
    <row r="27" spans="1:1" x14ac:dyDescent="0.3">
      <c r="A27" t="s">
        <v>52</v>
      </c>
    </row>
    <row r="29" spans="1:1" x14ac:dyDescent="0.3">
      <c r="A29" s="40" t="s">
        <v>53</v>
      </c>
    </row>
    <row r="31" spans="1:1" x14ac:dyDescent="0.3">
      <c r="A31" t="s">
        <v>54</v>
      </c>
    </row>
    <row r="32" spans="1:1" x14ac:dyDescent="0.3">
      <c r="A32" t="s">
        <v>55</v>
      </c>
    </row>
    <row r="34" spans="1:1" x14ac:dyDescent="0.3">
      <c r="A34" s="40" t="s">
        <v>56</v>
      </c>
    </row>
    <row r="36" spans="1:1" x14ac:dyDescent="0.3">
      <c r="A36" t="s">
        <v>57</v>
      </c>
    </row>
    <row r="37" spans="1:1" x14ac:dyDescent="0.3">
      <c r="A37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5383-9750-0A42-9EB4-87CD5D59DD48}">
  <dimension ref="A1:C19"/>
  <sheetViews>
    <sheetView workbookViewId="0">
      <selection activeCell="A20" sqref="A20"/>
    </sheetView>
  </sheetViews>
  <sheetFormatPr defaultColWidth="11.19921875" defaultRowHeight="15.6" x14ac:dyDescent="0.3"/>
  <cols>
    <col min="1" max="1" width="46.796875" bestFit="1" customWidth="1"/>
    <col min="2" max="2" width="54.69921875" bestFit="1" customWidth="1"/>
  </cols>
  <sheetData>
    <row r="1" spans="1:3" ht="23.4" x14ac:dyDescent="0.45">
      <c r="A1" s="120" t="s">
        <v>118</v>
      </c>
    </row>
    <row r="3" spans="1:3" x14ac:dyDescent="0.3">
      <c r="A3" s="40" t="s">
        <v>119</v>
      </c>
      <c r="B3" s="40" t="s">
        <v>120</v>
      </c>
      <c r="C3" s="40" t="s">
        <v>121</v>
      </c>
    </row>
    <row r="4" spans="1:3" x14ac:dyDescent="0.3">
      <c r="A4" s="40" t="s">
        <v>147</v>
      </c>
      <c r="B4" t="s">
        <v>122</v>
      </c>
      <c r="C4" t="s">
        <v>123</v>
      </c>
    </row>
    <row r="5" spans="1:3" x14ac:dyDescent="0.3">
      <c r="A5" s="40" t="s">
        <v>124</v>
      </c>
      <c r="B5" t="s">
        <v>125</v>
      </c>
      <c r="C5" t="s">
        <v>126</v>
      </c>
    </row>
    <row r="6" spans="1:3" x14ac:dyDescent="0.3">
      <c r="A6" s="40" t="s">
        <v>127</v>
      </c>
      <c r="B6" t="s">
        <v>128</v>
      </c>
      <c r="C6" t="s">
        <v>129</v>
      </c>
    </row>
    <row r="7" spans="1:3" x14ac:dyDescent="0.3">
      <c r="A7" s="40" t="s">
        <v>130</v>
      </c>
      <c r="B7" t="s">
        <v>131</v>
      </c>
      <c r="C7" t="s">
        <v>132</v>
      </c>
    </row>
    <row r="8" spans="1:3" x14ac:dyDescent="0.3">
      <c r="A8" s="40" t="s">
        <v>133</v>
      </c>
      <c r="B8" t="s">
        <v>134</v>
      </c>
      <c r="C8" t="s">
        <v>129</v>
      </c>
    </row>
    <row r="9" spans="1:3" x14ac:dyDescent="0.3">
      <c r="A9" s="40" t="s">
        <v>135</v>
      </c>
      <c r="B9" t="s">
        <v>136</v>
      </c>
      <c r="C9" t="s">
        <v>137</v>
      </c>
    </row>
    <row r="10" spans="1:3" x14ac:dyDescent="0.3">
      <c r="A10" s="40" t="s">
        <v>138</v>
      </c>
      <c r="B10" t="s">
        <v>139</v>
      </c>
      <c r="C10" t="s">
        <v>123</v>
      </c>
    </row>
    <row r="11" spans="1:3" x14ac:dyDescent="0.3">
      <c r="A11" s="40" t="s">
        <v>140</v>
      </c>
      <c r="B11" t="s">
        <v>141</v>
      </c>
      <c r="C11" t="s">
        <v>123</v>
      </c>
    </row>
    <row r="12" spans="1:3" x14ac:dyDescent="0.3">
      <c r="A12" s="40" t="s">
        <v>142</v>
      </c>
      <c r="B12" t="s">
        <v>143</v>
      </c>
      <c r="C12" t="s">
        <v>129</v>
      </c>
    </row>
    <row r="13" spans="1:3" x14ac:dyDescent="0.3">
      <c r="A13" s="40" t="s">
        <v>144</v>
      </c>
      <c r="B13" t="s">
        <v>145</v>
      </c>
      <c r="C13" t="s">
        <v>123</v>
      </c>
    </row>
    <row r="16" spans="1:3" x14ac:dyDescent="0.3">
      <c r="A16" s="40" t="s">
        <v>148</v>
      </c>
    </row>
    <row r="17" spans="1:1" x14ac:dyDescent="0.3">
      <c r="A17" t="s">
        <v>149</v>
      </c>
    </row>
    <row r="18" spans="1:1" x14ac:dyDescent="0.3">
      <c r="A18" t="s">
        <v>150</v>
      </c>
    </row>
    <row r="19" spans="1:1" x14ac:dyDescent="0.3">
      <c r="A19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Revenue Buildup</vt:lpstr>
      <vt:lpstr>Cost Buildup</vt:lpstr>
      <vt:lpstr>FAS</vt:lpstr>
      <vt:lpstr>IS</vt:lpstr>
      <vt:lpstr>BS</vt:lpstr>
      <vt:lpstr>CFS</vt:lpstr>
      <vt:lpstr>Valuation</vt:lpstr>
      <vt:lpstr>Sheet10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Rai</dc:creator>
  <cp:lastModifiedBy>radhika mahalle</cp:lastModifiedBy>
  <dcterms:created xsi:type="dcterms:W3CDTF">2025-03-10T12:17:31Z</dcterms:created>
  <dcterms:modified xsi:type="dcterms:W3CDTF">2026-07-11T20:31:56Z</dcterms:modified>
</cp:coreProperties>
</file>